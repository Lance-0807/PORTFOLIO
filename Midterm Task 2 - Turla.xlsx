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OMLAB\Downloads\PORTFOLIO-main\PORTFOLIO-main\"/>
    </mc:Choice>
  </mc:AlternateContent>
  <xr:revisionPtr revIDLastSave="0" documentId="13_ncr:1_{1D7FF7DF-D59B-4304-9169-B0843796CC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ivot_Table" sheetId="3" r:id="rId1"/>
    <sheet name="Challenge_Activity" sheetId="5" r:id="rId2"/>
    <sheet name="Bike Sales" sheetId="1" r:id="rId3"/>
  </sheets>
  <definedNames>
    <definedName name="_xlnm._FilterDatabase" localSheetId="2" hidden="1">'Bike Sales'!$G$1:$G$89</definedName>
  </definedNames>
  <calcPr calcId="191028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<sst xmlns="http://schemas.openxmlformats.org/spreadsheetml/2006/main" count="849" uniqueCount="163">
  <si>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</si>
  <si>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</si>
  <si>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</si>
  <si>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</si>
  <si>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</si>
  <si>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</si>
  <si>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</si>
  <si>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</si>
  <si>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</si>
  <si>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</si>
  <si>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</si>
  <si>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</si>
  <si>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</si>
  <si>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</si>
  <si>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</si>
  <si>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</si>
  <si>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</si>
  <si>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</si>
  <si>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</si>
  <si>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</si>
  <si>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</si>
  <si>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</si>
  <si>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</si>
  <si>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</si>
  <si>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</si>
  <si>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</si>
  <si>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</si>
  <si>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</si>
  <si>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</si>
  <si>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</si>
  <si>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</si>
  <si>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</si>
  <si>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</si>
  <si>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</si>
  <si>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</si>
  <si>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</si>
  <si>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</si>
  <si>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</si>
  <si>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</si>
  <si>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</si>
  <si>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United  States</t>
  </si>
  <si>
    <t>000261700</t>
  </si>
  <si>
    <t>Youth (&lt;25)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</si>
  <si>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</si>
  <si>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</si>
  <si>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</si>
  <si>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</si>
  <si>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</si>
  <si>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</si>
  <si>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</si>
  <si>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</si>
  <si>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</si>
  <si>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</si>
  <si>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</si>
  <si>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</si>
  <si>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</si>
  <si>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</si>
  <si>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</si>
  <si>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</si>
  <si>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</si>
  <si>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</si>
  <si>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</si>
  <si>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</si>
  <si>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</si>
  <si>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</si>
  <si>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</si>
  <si>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</si>
  <si>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</si>
  <si>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</si>
  <si>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</si>
  <si>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</si>
  <si>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000261716</t>
  </si>
  <si>
    <t>Mountain-500 Black, 42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</si>
  <si>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</si>
  <si>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</si>
  <si>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</si>
  <si>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</si>
  <si>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</si>
  <si>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</si>
  <si>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</si>
  <si>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</si>
  <si>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</si>
  <si>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</si>
  <si>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</si>
  <si>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</si>
  <si>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</si>
  <si>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</si>
  <si>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</si>
  <si>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</si>
  <si>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</si>
  <si>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</si>
  <si>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</si>
  <si>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</si>
  <si>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</si>
  <si>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</si>
  <si>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</si>
  <si>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</si>
  <si>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</si>
  <si>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</si>
  <si>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</si>
  <si>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</si>
  <si>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</si>
  <si>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</si>
  <si>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</si>
  <si>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</si>
  <si>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</si>
  <si>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</si>
  <si>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</si>
  <si>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</si>
  <si>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</si>
  <si>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</si>
  <si>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</si>
  <si>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</si>
  <si>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</si>
  <si>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</si>
  <si>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</si>
  <si>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</si>
  <si>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</si>
  <si>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</si>
  <si>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</si>
  <si>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</si>
  <si>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</si>
  <si>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</si>
  <si>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</si>
  <si>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</si>
  <si>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</si>
  <si>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</si>
  <si>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</si>
  <si>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</si>
  <si>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</si>
  <si>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</si>
  <si>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</si>
  <si>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</si>
  <si>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</si>
  <si>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</si>
  <si>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</si>
  <si>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</si>
  <si>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</si>
  <si>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</si>
  <si>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</si>
  <si>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</si>
  <si>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</si>
  <si>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</si>
  <si>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</si>
  <si>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</si>
  <si>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</si>
  <si>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</si>
  <si>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</si>
  <si>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</si>
  <si>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</si>
  <si>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</si>
  <si>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</si>
  <si>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</si>
  <si>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</si>
  <si>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</si>
  <si>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</si>
  <si>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</si>
  <si>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</si>
  <si>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Row Labels</t>
  </si>
  <si>
    <t>Grand Total</t>
  </si>
  <si>
    <t>Sum of Order_Quantity</t>
  </si>
  <si>
    <t>Column Labels</t>
  </si>
  <si>
    <t xml:space="preserve">Sum of  Profit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</si>
</sst>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alignment horizontal="center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[Midterm Task 2 - Turla.xlsx]Pivot_Table!PivotTable2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Pivot_Table!$B$3:$B$4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Pivot_Table!$A$5:$A$14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Pivot_Table!$B$5:$B$14</c:f>
              <c:numCache>
                <c:formatCode>General</c:formatCode>
                <c:ptCount val="6"/>
                <c:pt idx="0">
                  <c:v>9</c:v>
                </c:pt>
                <c:pt idx="1">
                  <c:v>2</c:v>
                </c:pt>
                <c:pt idx="2">
                  <c:v>17</c:v>
                </c:pt>
                <c:pt idx="3">
                  <c:v>3</c:v>
                </c:pt>
                <c:pt idx="4">
                  <c:v>17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87-49AC-A022-39D51621DB86}"/>
            </c:ext>
          </c:extLst>
        </c:ser>
        <c:ser>
          <c:idx val="1"/>
          <c:order val="1"/>
          <c:tx>
            <c:strRef>
              <c:f>Pivot_Table!$C$3:$C$4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Pivot_Table!$A$5:$A$14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Pivot_Table!$C$5:$C$14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87-49AC-A022-39D51621DB86}"/>
            </c:ext>
          </c:extLst>
        </c:ser>
        <c:ser>
          <c:idx val="2"/>
          <c:order val="2"/>
          <c:tx>
            <c:strRef>
              <c:f>Pivot_Table!$D$3:$D$4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Pivot_Table!$A$5:$A$14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Pivot_Table!$D$5:$D$14</c:f>
              <c:numCache>
                <c:formatCode>General</c:formatCode>
                <c:ptCount val="6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87-49AC-A022-39D51621DB86}"/>
            </c:ext>
          </c:extLst>
        </c:ser>
        <c:ser>
          <c:idx val="3"/>
          <c:order val="3"/>
          <c:tx>
            <c:strRef>
              <c:f>Pivot_Table!$E$3:$E$4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Pivot_Table!$A$5:$A$14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Pivot_Table!$E$5:$E$14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87-49AC-A022-39D51621DB86}"/>
            </c:ext>
          </c:extLst>
        </c:ser>
        <c:ser>
          <c:idx val="4"/>
          <c:order val="4"/>
          <c:tx>
            <c:strRef>
              <c:f>Pivot_Table!$F$3:$F$4</c:f>
              <c:strCache>
                <c:ptCount val="1"/>
                <c:pt idx="0">
                  <c:v>United  States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Pivot_Table!$A$5:$A$14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Pivot_Table!$F$5:$F$14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87-49AC-A022-39D51621DB86}"/>
            </c:ext>
          </c:extLst>
        </c:ser>
        <c:ser>
          <c:idx val="5"/>
          <c:order val="5"/>
          <c:tx>
            <c:strRef>
              <c:f>Pivot_Table!$G$3:$G$4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Pivot_Table!$A$5:$A$14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Pivot_Table!$G$5:$G$14</c:f>
              <c:numCache>
                <c:formatCode>General</c:formatCode>
                <c:ptCount val="6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A87-49AC-A022-39D51621DB86}"/>
            </c:ext>
          </c:extLst>
        </c:ser>
        <c:ser>
          <c:idx val="6"/>
          <c:order val="6"/>
          <c:tx>
            <c:strRef>
              <c:f>Pivot_Table!$H$3:$H$4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Pivot_Table!$A$5:$A$14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Pivot_Table!$H$5:$H$14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6</c:v>
                </c:pt>
                <c:pt idx="4">
                  <c:v>27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A87-49AC-A022-39D51621DB86}"/>
            </c:ext>
          </c:extLst>
        </c:ser>
        <c:ser>
          <c:idx val="7"/>
          <c:order val="7"/>
          <c:tx>
            <c:strRef>
              <c:f>Pivot_Table!$I$3:$I$4</c:f>
              <c:strCache>
                <c:ptCount val="1"/>
                <c:pt idx="0">
                  <c:v>United States 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Pivot_Table!$A$5:$A$14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Pivot_Table!$I$5:$I$14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A87-49AC-A022-39D51621DB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87526656"/>
        <c:axId val="1840628352"/>
      </c:barChart>
      <c:catAx>
        <c:axId val="188752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628352"/>
        <c:crosses val="autoZero"/>
        <c:auto val="1"/>
        <c:lblAlgn val="ctr"/>
        <c:lblOffset val="100"/>
        <c:noMultiLvlLbl val="0"/>
      </c:catAx>
      <c:valAx>
        <c:axId val="184062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52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[Midterm Task 2 - Turla.xlsx]Challenge_Activity!PivotTable3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Most Profitable Markets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Challenge_Activity!$B$3:$B$4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Challenge_Activity!$A$5:$A$8</c:f>
              <c:strCache>
                <c:ptCount val="3"/>
                <c:pt idx="0">
                  <c:v>Adults (35-64)</c:v>
                </c:pt>
                <c:pt idx="1">
                  <c:v>Young Adults (25-34)</c:v>
                </c:pt>
                <c:pt idx="2">
                  <c:v>Youth (&lt;25)</c:v>
                </c:pt>
              </c:strCache>
            </c:strRef>
          </c:cat>
          <c:val>
            <c:numRef>
              <c:f>Challenge_Activity!$B$5:$B$8</c:f>
              <c:numCache>
                <c:formatCode>General</c:formatCode>
                <c:ptCount val="3"/>
                <c:pt idx="0">
                  <c:v>28932</c:v>
                </c:pt>
                <c:pt idx="1">
                  <c:v>18639</c:v>
                </c:pt>
                <c:pt idx="2">
                  <c:v>2755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60-4AD1-A9E5-2E66B41020DE}"/>
            </c:ext>
          </c:extLst>
        </c:ser>
        <c:ser>
          <c:idx val="1"/>
          <c:order val="1"/>
          <c:tx>
            <c:strRef>
              <c:f>Challenge_Activity!$C$3:$C$4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Challenge_Activity!$A$5:$A$8</c:f>
              <c:strCache>
                <c:ptCount val="3"/>
                <c:pt idx="0">
                  <c:v>Adults (35-64)</c:v>
                </c:pt>
                <c:pt idx="1">
                  <c:v>Young Adults (25-34)</c:v>
                </c:pt>
                <c:pt idx="2">
                  <c:v>Youth (&lt;25)</c:v>
                </c:pt>
              </c:strCache>
            </c:strRef>
          </c:cat>
          <c:val>
            <c:numRef>
              <c:f>Challenge_Activity!$C$5:$C$8</c:f>
              <c:numCache>
                <c:formatCode>General</c:formatCode>
                <c:ptCount val="3"/>
                <c:pt idx="1">
                  <c:v>9123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60-4AD1-A9E5-2E66B41020DE}"/>
            </c:ext>
          </c:extLst>
        </c:ser>
        <c:ser>
          <c:idx val="2"/>
          <c:order val="2"/>
          <c:tx>
            <c:strRef>
              <c:f>Challenge_Activity!$D$3:$D$4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Challenge_Activity!$A$5:$A$8</c:f>
              <c:strCache>
                <c:ptCount val="3"/>
                <c:pt idx="0">
                  <c:v>Adults (35-64)</c:v>
                </c:pt>
                <c:pt idx="1">
                  <c:v>Young Adults (25-34)</c:v>
                </c:pt>
                <c:pt idx="2">
                  <c:v>Youth (&lt;25)</c:v>
                </c:pt>
              </c:strCache>
            </c:strRef>
          </c:cat>
          <c:val>
            <c:numRef>
              <c:f>Challenge_Activity!$D$5:$D$8</c:f>
              <c:numCache>
                <c:formatCode>General</c:formatCode>
                <c:ptCount val="3"/>
                <c:pt idx="1">
                  <c:v>10474</c:v>
                </c:pt>
                <c:pt idx="2">
                  <c:v>10507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60-4AD1-A9E5-2E66B41020DE}"/>
            </c:ext>
          </c:extLst>
        </c:ser>
        <c:ser>
          <c:idx val="3"/>
          <c:order val="3"/>
          <c:tx>
            <c:strRef>
              <c:f>Challenge_Activity!$E$3:$E$4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Challenge_Activity!$A$5:$A$8</c:f>
              <c:strCache>
                <c:ptCount val="3"/>
                <c:pt idx="0">
                  <c:v>Adults (35-64)</c:v>
                </c:pt>
                <c:pt idx="1">
                  <c:v>Young Adults (25-34)</c:v>
                </c:pt>
                <c:pt idx="2">
                  <c:v>Youth (&lt;25)</c:v>
                </c:pt>
              </c:strCache>
            </c:strRef>
          </c:cat>
          <c:val>
            <c:numRef>
              <c:f>Challenge_Activity!$E$5:$E$8</c:f>
              <c:numCache>
                <c:formatCode>General</c:formatCode>
                <c:ptCount val="3"/>
                <c:pt idx="0">
                  <c:v>13636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760-4AD1-A9E5-2E66B41020DE}"/>
            </c:ext>
          </c:extLst>
        </c:ser>
        <c:ser>
          <c:idx val="4"/>
          <c:order val="4"/>
          <c:tx>
            <c:strRef>
              <c:f>Challenge_Activity!$F$3:$F$4</c:f>
              <c:strCache>
                <c:ptCount val="1"/>
                <c:pt idx="0">
                  <c:v>United  States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Challenge_Activity!$A$5:$A$8</c:f>
              <c:strCache>
                <c:ptCount val="3"/>
                <c:pt idx="0">
                  <c:v>Adults (35-64)</c:v>
                </c:pt>
                <c:pt idx="1">
                  <c:v>Young Adults (25-34)</c:v>
                </c:pt>
                <c:pt idx="2">
                  <c:v>Youth (&lt;25)</c:v>
                </c:pt>
              </c:strCache>
            </c:strRef>
          </c:cat>
          <c:val>
            <c:numRef>
              <c:f>Challenge_Activity!$F$5:$F$8</c:f>
              <c:numCache>
                <c:formatCode>General</c:formatCode>
                <c:ptCount val="3"/>
                <c:pt idx="0">
                  <c:v>2086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760-4AD1-A9E5-2E66B41020DE}"/>
            </c:ext>
          </c:extLst>
        </c:ser>
        <c:ser>
          <c:idx val="5"/>
          <c:order val="5"/>
          <c:tx>
            <c:strRef>
              <c:f>Challenge_Activity!$G$3:$G$4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Challenge_Activity!$A$5:$A$8</c:f>
              <c:strCache>
                <c:ptCount val="3"/>
                <c:pt idx="0">
                  <c:v>Adults (35-64)</c:v>
                </c:pt>
                <c:pt idx="1">
                  <c:v>Young Adults (25-34)</c:v>
                </c:pt>
                <c:pt idx="2">
                  <c:v>Youth (&lt;25)</c:v>
                </c:pt>
              </c:strCache>
            </c:strRef>
          </c:cat>
          <c:val>
            <c:numRef>
              <c:f>Challenge_Activity!$G$5:$G$8</c:f>
              <c:numCache>
                <c:formatCode>General</c:formatCode>
                <c:ptCount val="3"/>
                <c:pt idx="0">
                  <c:v>4194</c:v>
                </c:pt>
                <c:pt idx="1">
                  <c:v>2090</c:v>
                </c:pt>
                <c:pt idx="2">
                  <c:v>2788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760-4AD1-A9E5-2E66B41020DE}"/>
            </c:ext>
          </c:extLst>
        </c:ser>
        <c:ser>
          <c:idx val="6"/>
          <c:order val="6"/>
          <c:tx>
            <c:strRef>
              <c:f>Challenge_Activity!$H$3:$H$4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Challenge_Activity!$A$5:$A$8</c:f>
              <c:strCache>
                <c:ptCount val="3"/>
                <c:pt idx="0">
                  <c:v>Adults (35-64)</c:v>
                </c:pt>
                <c:pt idx="1">
                  <c:v>Young Adults (25-34)</c:v>
                </c:pt>
                <c:pt idx="2">
                  <c:v>Youth (&lt;25)</c:v>
                </c:pt>
              </c:strCache>
            </c:strRef>
          </c:cat>
          <c:val>
            <c:numRef>
              <c:f>Challenge_Activity!$H$5:$H$8</c:f>
              <c:numCache>
                <c:formatCode>General</c:formatCode>
                <c:ptCount val="3"/>
                <c:pt idx="0">
                  <c:v>43605</c:v>
                </c:pt>
                <c:pt idx="1">
                  <c:v>13636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760-4AD1-A9E5-2E66B41020DE}"/>
            </c:ext>
          </c:extLst>
        </c:ser>
        <c:ser>
          <c:idx val="7"/>
          <c:order val="7"/>
          <c:tx>
            <c:strRef>
              <c:f>Challenge_Activity!$I$3:$I$4</c:f>
              <c:strCache>
                <c:ptCount val="1"/>
                <c:pt idx="0">
                  <c:v>United States 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Challenge_Activity!$A$5:$A$8</c:f>
              <c:strCache>
                <c:ptCount val="3"/>
                <c:pt idx="0">
                  <c:v>Adults (35-64)</c:v>
                </c:pt>
                <c:pt idx="1">
                  <c:v>Young Adults (25-34)</c:v>
                </c:pt>
                <c:pt idx="2">
                  <c:v>Youth (&lt;25)</c:v>
                </c:pt>
              </c:strCache>
            </c:strRef>
          </c:cat>
          <c:val>
            <c:numRef>
              <c:f>Challenge_Activity!$I$5:$I$8</c:f>
              <c:numCache>
                <c:formatCode>General</c:formatCode>
                <c:ptCount val="3"/>
                <c:pt idx="0">
                  <c:v>1043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760-4AD1-A9E5-2E66B4102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6442224"/>
        <c:axId val="1709207136"/>
      </c:barChart>
      <c:catAx>
        <c:axId val="170644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207136"/>
        <c:crosses val="autoZero"/>
        <c:auto val="1"/>
        <c:lblAlgn val="ctr"/>
        <c:lblOffset val="100"/>
        <c:noMultiLvlLbl val="0"/>
      </c:catAx>
      <c:valAx>
        <c:axId val="170920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442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257736</xdr:colOff>
      <xdr:row>15</xdr:row>
      <xdr:rowOff>96614</xdr:rowOff>
    </xdr:from>
    <xdr:to>
      <xdr:col>15</xdr:col>
      <xdr:colOff>168090</xdr:colOff>
      <xdr:row>34</xdr:row>
      <xdr:rowOff>160804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209550</xdr:colOff>
      <xdr:row>12</xdr:row>
      <xdr:rowOff>114300</xdr:rowOff>
    </xdr:from>
    <xdr:to>
      <xdr:col>8</xdr:col>
      <xdr:colOff>895350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MLAB" refreshedDate="46073.460089583336" createdVersion="6" refreshedVersion="6" minRefreshableVersion="3" recordCount="88" xr:uid="{00000000-000A-0000-FFFF-FFFF09000000}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8">
        <s v="United States"/>
        <s v="United Kingdom"/>
        <s v="Australia"/>
        <s v="United  States"/>
        <s v="United States 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164">
      <sharedItems containsSemiMixedTypes="0" containsString="0" containsNumber="1" containsInteger="1" minValue="295" maxValue="1912"/>
    </cacheField>
    <cacheField name=" Unit_Price " numFmtId="164">
      <sharedItems containsSemiMixedTypes="0" containsString="0" containsNumber="1" containsInteger="1" minValue="540" maxValue="3400"/>
    </cacheField>
    <cacheField name=" Profit " numFmtId="164">
      <sharedItems containsSemiMixedTypes="0" containsString="0" containsNumber="1" containsInteger="1" minValue="245" maxValue="5908"/>
    </cacheField>
    <cacheField name=" Cost " numFmtId="164">
      <sharedItems containsSemiMixedTypes="0" containsString="0" containsNumber="1" containsInteger="1" minValue="295" maxValue="7592"/>
    </cacheField>
    <cacheField name="Revenue" numFmtId="164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8">
  <r>
    <s v="000261696"/>
    <d v="2021-12-01T00:00:00"/>
    <n v="1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695"/>
    <d v="2021-12-01T00:00:00"/>
    <n v="1"/>
    <s v="December"/>
    <n v="2021"/>
    <n v="44"/>
    <x v="0"/>
    <x v="1"/>
    <x v="1"/>
    <s v="England"/>
    <s v="Bikes"/>
    <s v="Mountain Bikes"/>
    <s v="Mountain-200 Silver, 42"/>
    <n v="1"/>
    <n v="1266"/>
    <n v="2320"/>
    <n v="1054"/>
    <n v="1266"/>
    <n v="2320"/>
  </r>
  <r>
    <s v="000261697"/>
    <d v="2021-12-02T00:00:00"/>
    <n v="2"/>
    <s v="December"/>
    <n v="2021"/>
    <n v="37"/>
    <x v="0"/>
    <x v="1"/>
    <x v="0"/>
    <s v="California"/>
    <s v="Bikes"/>
    <s v="Mountain Bikes"/>
    <s v="Mountain-400-W Silver, 46"/>
    <n v="2"/>
    <n v="420"/>
    <n v="769"/>
    <n v="698"/>
    <n v="840"/>
    <n v="1538"/>
  </r>
  <r>
    <s v="000261698"/>
    <d v="2021-12-02T00:00:00"/>
    <n v="2"/>
    <s v="December"/>
    <n v="2021"/>
    <n v="31"/>
    <x v="1"/>
    <x v="0"/>
    <x v="2"/>
    <s v="New South Wales"/>
    <s v="Bikes"/>
    <s v="Mountain Bikes"/>
    <s v="Mountain-400-W Silver, 42"/>
    <n v="1"/>
    <n v="420"/>
    <n v="769"/>
    <n v="349"/>
    <n v="420"/>
    <n v="769"/>
  </r>
  <r>
    <s v="000261699"/>
    <d v="2021-12-03T00:00:00"/>
    <n v="3"/>
    <s v="December"/>
    <n v="2021"/>
    <n v="37"/>
    <x v="0"/>
    <x v="0"/>
    <x v="3"/>
    <s v="California"/>
    <s v="Bikes"/>
    <s v="Mountain Bikes"/>
    <s v="Mountain-200 Black, 46"/>
    <n v="2"/>
    <n v="1252"/>
    <n v="2295"/>
    <n v="2086"/>
    <n v="2504"/>
    <n v="4590"/>
  </r>
  <r>
    <s v="000261700"/>
    <d v="2021-12-03T00:00:00"/>
    <n v="3"/>
    <s v="December"/>
    <n v="2021"/>
    <n v="24"/>
    <x v="2"/>
    <x v="0"/>
    <x v="1"/>
    <s v="England"/>
    <s v="Bikes"/>
    <s v="Mountain Bikes"/>
    <s v="Mountain-200 Black, 38"/>
    <n v="1"/>
    <n v="1252"/>
    <n v="2295"/>
    <n v="1043"/>
    <n v="1252"/>
    <n v="2295"/>
  </r>
  <r>
    <s v="000261701"/>
    <d v="2021-12-03T00:00:00"/>
    <n v="3"/>
    <s v="December"/>
    <n v="2021"/>
    <n v="37"/>
    <x v="0"/>
    <x v="1"/>
    <x v="4"/>
    <s v="Washington"/>
    <s v="Bikes"/>
    <s v="Mountain Bikes"/>
    <s v="Mountain-200 Black, 46"/>
    <n v="1"/>
    <n v="1252"/>
    <n v="2295"/>
    <n v="1043"/>
    <n v="1252"/>
    <n v="2295"/>
  </r>
  <r>
    <s v="000261702"/>
    <d v="2021-12-04T00:00:00"/>
    <n v="4"/>
    <s v="December"/>
    <n v="2021"/>
    <n v="31"/>
    <x v="1"/>
    <x v="0"/>
    <x v="2"/>
    <s v="New South Wales"/>
    <s v="Bikes"/>
    <s v="Mountain Bikes"/>
    <s v="Mountain-400-W Silver, 42"/>
    <n v="4"/>
    <n v="420"/>
    <n v="769"/>
    <n v="1396"/>
    <n v="1680"/>
    <n v="3076"/>
  </r>
  <r>
    <s v="000261703"/>
    <d v="2021-12-05T00:00:00"/>
    <n v="5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04"/>
    <d v="2021-12-05T00:00:00"/>
    <m/>
    <s v="December"/>
    <n v="2021"/>
    <n v="42"/>
    <x v="0"/>
    <x v="1"/>
    <x v="5"/>
    <s v="Nordrhein-Westfalen"/>
    <s v="Bikes"/>
    <s v="Mountain Bikes"/>
    <s v="Mountain-200 Black, 38"/>
    <n v="4"/>
    <n v="1252"/>
    <n v="2295"/>
    <n v="4172"/>
    <n v="5008"/>
    <n v="9180"/>
  </r>
  <r>
    <s v="000261705"/>
    <d v="2021-12-05T00:00:00"/>
    <n v="5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06"/>
    <d v="2021-12-05T00:00:00"/>
    <n v="5"/>
    <s v="December"/>
    <n v="2021"/>
    <n v="37"/>
    <x v="0"/>
    <x v="0"/>
    <x v="0"/>
    <s v="California"/>
    <s v="Bikes"/>
    <s v="Mountain Bikes"/>
    <s v="Mountain-200 Black, 46"/>
    <n v="1"/>
    <n v="1252"/>
    <n v="2295"/>
    <n v="1043"/>
    <n v="1252"/>
    <n v="2295"/>
  </r>
  <r>
    <s v="000261707"/>
    <d v="2021-12-06T00:00:00"/>
    <n v="6"/>
    <s v="December"/>
    <n v="2021"/>
    <n v="23"/>
    <x v="2"/>
    <x v="1"/>
    <x v="1"/>
    <s v="England"/>
    <s v="Bikes"/>
    <s v="Mountain Bikes"/>
    <s v="Mountain-400-W Silver, 46"/>
    <n v="3"/>
    <n v="420"/>
    <n v="769"/>
    <n v="1047"/>
    <n v="1260"/>
    <n v="2307"/>
  </r>
  <r>
    <s v="000261708"/>
    <d v="2021-12-06T00:00:00"/>
    <n v="6"/>
    <s v="December"/>
    <n v="2021"/>
    <n v="27"/>
    <x v="1"/>
    <x v="1"/>
    <x v="6"/>
    <s v="British Columbia"/>
    <s v="Bikes"/>
    <s v="Mountain Bikes"/>
    <s v="Mountain-200 Black, 46"/>
    <n v="1"/>
    <n v="1252"/>
    <n v="2295"/>
    <n v="1043"/>
    <n v="1252"/>
    <n v="2295"/>
  </r>
  <r>
    <s v="000261709"/>
    <d v="2021-12-06T00:00:00"/>
    <n v="6"/>
    <s v="December"/>
    <n v="2021"/>
    <n v="36"/>
    <x v="0"/>
    <x v="1"/>
    <x v="2"/>
    <s v="New South Wales"/>
    <s v="Bikes"/>
    <s v="Mountain Bikes"/>
    <s v="Mountain-200 Black, 42"/>
    <n v="1"/>
    <n v="1252"/>
    <n v="2295"/>
    <n v="1043"/>
    <n v="1252"/>
    <n v="2295"/>
  </r>
  <r>
    <s v="000261710"/>
    <d v="2021-12-06T00:00:00"/>
    <n v="6"/>
    <s v="December"/>
    <n v="2021"/>
    <n v="47"/>
    <x v="0"/>
    <x v="1"/>
    <x v="1"/>
    <s v="England"/>
    <s v="Bikes"/>
    <s v="Mountain Bikes"/>
    <s v="Mountain-200 Silver, 38"/>
    <n v="1"/>
    <n v="1266"/>
    <n v="2320"/>
    <n v="1054"/>
    <n v="1266"/>
    <n v="2320"/>
  </r>
  <r>
    <s v="000261711"/>
    <d v="2021-12-07T00:00:00"/>
    <n v="7"/>
    <s v="December"/>
    <n v="2021"/>
    <n v="30"/>
    <x v="1"/>
    <x v="1"/>
    <x v="0"/>
    <s v="California"/>
    <s v="Bikes"/>
    <s v="Mountain Bikes"/>
    <s v="Mountain-400-W Silver, 38"/>
    <n v="4"/>
    <n v="420"/>
    <n v="769"/>
    <n v="1396"/>
    <n v="1680"/>
    <n v="3076"/>
  </r>
  <r>
    <s v="000261712"/>
    <d v="2021-12-07T00:00:00"/>
    <n v="7"/>
    <s v="December"/>
    <n v="2021"/>
    <n v="38"/>
    <x v="0"/>
    <x v="1"/>
    <x v="0"/>
    <s v="California"/>
    <s v="Bikes"/>
    <s v="Mountain Bikes"/>
    <s v="Mountain-200 Silver, 42"/>
    <n v="2"/>
    <n v="1266"/>
    <n v="2320"/>
    <n v="2108"/>
    <n v="2532"/>
    <n v="4640"/>
  </r>
  <r>
    <s v="000261713"/>
    <d v="2021-12-08T00:00:00"/>
    <n v="8"/>
    <s v="December"/>
    <n v="2021"/>
    <n v="19"/>
    <x v="2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14"/>
    <d v="2021-12-08T00:00:00"/>
    <n v="8"/>
    <s v="December"/>
    <n v="2021"/>
    <n v="30"/>
    <x v="1"/>
    <x v="0"/>
    <x v="6"/>
    <s v="British Columbia"/>
    <s v="Bikes"/>
    <s v="Mountain Bikes"/>
    <s v="Mountain-200 Silver, 38"/>
    <n v="4"/>
    <n v="1266"/>
    <n v="2320"/>
    <n v="4216"/>
    <n v="5064"/>
    <n v="9280"/>
  </r>
  <r>
    <s v="000261715"/>
    <d v="2021-12-08T00:00:00"/>
    <n v="8"/>
    <s v="December"/>
    <n v="2021"/>
    <n v="39"/>
    <x v="0"/>
    <x v="0"/>
    <x v="0"/>
    <s v="Oregon"/>
    <s v="Bikes"/>
    <s v="Mountain Bikes"/>
    <s v="Mountain-500 Black, 42"/>
    <n v="2"/>
    <n v="1252"/>
    <n v="2295"/>
    <n v="2086"/>
    <n v="2504"/>
    <n v="4590"/>
  </r>
  <r>
    <s v="000261716"/>
    <d v="2021-12-08T00:00:00"/>
    <n v="8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17"/>
    <d v="2021-12-09T00:00:00"/>
    <n v="9"/>
    <s v="December"/>
    <n v="2021"/>
    <n v="33"/>
    <x v="1"/>
    <x v="0"/>
    <x v="2"/>
    <s v="Victoria"/>
    <s v="Bikes"/>
    <s v="Mountain Bikes"/>
    <s v="Mountain-100 Black, 38"/>
    <n v="2"/>
    <n v="1898"/>
    <n v="3375"/>
    <n v="2954"/>
    <n v="3796"/>
    <n v="6750"/>
  </r>
  <r>
    <s v="000261718"/>
    <d v="2021-12-09T00:00:00"/>
    <n v="9"/>
    <s v="December"/>
    <n v="2021"/>
    <n v="41"/>
    <x v="0"/>
    <x v="0"/>
    <x v="5"/>
    <s v="Hamburg"/>
    <s v="Bikes"/>
    <s v="Mountain Bikes"/>
    <s v="Mountain-200 Silver, 42"/>
    <n v="1"/>
    <n v="1266"/>
    <n v="2320"/>
    <n v="1054"/>
    <n v="1266"/>
    <n v="2320"/>
  </r>
  <r>
    <s v="000261719"/>
    <d v="2021-12-10T00:00:00"/>
    <n v="10"/>
    <s v="December"/>
    <n v="2021"/>
    <n v="34"/>
    <x v="1"/>
    <x v="0"/>
    <x v="0"/>
    <s v="California"/>
    <s v="Bikes"/>
    <s v="Mountain Bikes"/>
    <s v="Mountain-200 Black, 42"/>
    <n v="2"/>
    <n v="1252"/>
    <n v="2295"/>
    <n v="2086"/>
    <n v="2504"/>
    <n v="4590"/>
  </r>
  <r>
    <s v="000261720"/>
    <d v="2021-12-10T00:00:00"/>
    <n v="10"/>
    <s v="December"/>
    <n v="2021"/>
    <n v="40"/>
    <x v="0"/>
    <x v="1"/>
    <x v="2"/>
    <s v="New South Wales"/>
    <s v="Bikes"/>
    <s v="Mountain Bikes"/>
    <s v="Mountain-200 Black, 42"/>
    <n v="2"/>
    <n v="1252"/>
    <n v="2295"/>
    <n v="2086"/>
    <n v="2504"/>
    <n v="4590"/>
  </r>
  <r>
    <s v="000261721"/>
    <d v="2021-12-10T00:00:00"/>
    <n v="10"/>
    <s v="December"/>
    <n v="2021"/>
    <n v="26"/>
    <x v="1"/>
    <x v="1"/>
    <x v="1"/>
    <s v="England"/>
    <s v="Bikes"/>
    <s v="Mountain Bikes"/>
    <s v="Mountain-200 Black, 38"/>
    <n v="1"/>
    <n v="1252"/>
    <n v="2295"/>
    <n v="1043"/>
    <n v="1252"/>
    <n v="2295"/>
  </r>
  <r>
    <s v="000261722"/>
    <d v="2021-12-10T00:00:00"/>
    <n v="10"/>
    <s v="December"/>
    <n v="2021"/>
    <n v="34"/>
    <x v="1"/>
    <x v="1"/>
    <x v="0"/>
    <s v="California"/>
    <s v="Bikes"/>
    <s v="Mountain Bikes"/>
    <s v="Mountain-500 Black, 40"/>
    <n v="1"/>
    <n v="295"/>
    <n v="540"/>
    <n v="245"/>
    <n v="295"/>
    <n v="540"/>
  </r>
  <r>
    <s v="000261723"/>
    <d v="2021-12-10T00:00:00"/>
    <n v="10"/>
    <s v="December"/>
    <n v="2021"/>
    <n v="34"/>
    <x v="1"/>
    <x v="0"/>
    <x v="0"/>
    <s v="Washington"/>
    <s v="Bikes"/>
    <s v="Mountain Bikes"/>
    <s v="Mountain-100 Silver, 44"/>
    <n v="1"/>
    <n v="1912"/>
    <n v="3400"/>
    <n v="1488"/>
    <n v="1912"/>
    <n v="3400"/>
  </r>
  <r>
    <s v="000261724"/>
    <d v="2021-12-10T00:00:00"/>
    <n v="10"/>
    <s v="December"/>
    <n v="2021"/>
    <n v="38"/>
    <x v="0"/>
    <x v="1"/>
    <x v="2"/>
    <s v="New South Wales"/>
    <s v="Bikes"/>
    <s v="Mountain Bikes"/>
    <s v="Mountain-200 Black, 38"/>
    <n v="1"/>
    <n v="1252"/>
    <n v="2295"/>
    <n v="1043"/>
    <n v="1252"/>
    <n v="2295"/>
  </r>
  <r>
    <s v="000261725"/>
    <d v="2021-12-11T00:00:00"/>
    <n v="11"/>
    <s v="December"/>
    <n v="2021"/>
    <n v="24"/>
    <x v="2"/>
    <x v="0"/>
    <x v="7"/>
    <s v="Seine (Paris)"/>
    <s v="Bikes"/>
    <s v="Mountain Bikes"/>
    <s v="Mountain-200 Black, 38"/>
    <n v="3"/>
    <n v="1252"/>
    <n v="2295"/>
    <n v="3129"/>
    <n v="3756"/>
    <n v="6885"/>
  </r>
  <r>
    <s v="000261726"/>
    <d v="2021-12-11T00:00:00"/>
    <n v="11"/>
    <s v="December"/>
    <n v="2021"/>
    <n v="41"/>
    <x v="0"/>
    <x v="0"/>
    <x v="2"/>
    <s v="New South Wales"/>
    <s v="Bikes"/>
    <s v="Mountain Bikes"/>
    <s v="Mountain-400-W Silver, 38"/>
    <n v="2"/>
    <n v="420"/>
    <n v="769"/>
    <n v="698"/>
    <n v="840"/>
    <n v="1538"/>
  </r>
  <r>
    <s v="000261727"/>
    <d v="2021-12-11T00:00:00"/>
    <n v="11"/>
    <s v="December"/>
    <n v="2021"/>
    <n v="27"/>
    <x v="1"/>
    <x v="1"/>
    <x v="6"/>
    <s v="British Columbia"/>
    <s v="Bikes"/>
    <s v="Mountain Bikes"/>
    <s v="Mountain-200 Black, 46"/>
    <n v="1"/>
    <n v="1252"/>
    <n v="2295"/>
    <n v="1043"/>
    <n v="1252"/>
    <n v="2295"/>
  </r>
  <r>
    <s v="000261728"/>
    <d v="2021-12-11T00:00:00"/>
    <n v="11"/>
    <s v="December"/>
    <n v="2021"/>
    <n v="37"/>
    <x v="0"/>
    <x v="1"/>
    <x v="0"/>
    <s v="California"/>
    <s v="Bikes"/>
    <s v="Mountain Bikes"/>
    <s v="Mountain-400-W Silver, 46"/>
    <n v="1"/>
    <n v="420"/>
    <n v="769"/>
    <n v="349"/>
    <n v="420"/>
    <n v="769"/>
  </r>
  <r>
    <s v="000261729"/>
    <d v="2021-12-11T00:00:00"/>
    <n v="11"/>
    <s v="December"/>
    <n v="2021"/>
    <n v="38"/>
    <x v="0"/>
    <x v="0"/>
    <x v="0"/>
    <s v="California"/>
    <s v="Bikes"/>
    <s v="Mountain Bikes"/>
    <s v="Mountain-200 Silver, 38"/>
    <n v="1"/>
    <n v="1266"/>
    <n v="2320"/>
    <n v="1054"/>
    <n v="1266"/>
    <n v="2320"/>
  </r>
  <r>
    <s v="000261730"/>
    <d v="2021-12-12T00:00:00"/>
    <n v="12"/>
    <s v="December"/>
    <n v="2021"/>
    <n v="36"/>
    <x v="0"/>
    <x v="0"/>
    <x v="2"/>
    <s v="New South Wales"/>
    <s v="Bikes"/>
    <s v="Mountain Bikes"/>
    <s v="Mountain-200 Silver, 42"/>
    <n v="4"/>
    <n v="1266"/>
    <n v="2320"/>
    <n v="4216"/>
    <n v="5064"/>
    <n v="9280"/>
  </r>
  <r>
    <s v="000261731"/>
    <d v="2021-12-12T00:00:00"/>
    <n v="12"/>
    <s v="December"/>
    <n v="2021"/>
    <n v="37"/>
    <x v="0"/>
    <x v="1"/>
    <x v="0"/>
    <s v="California"/>
    <s v="Bikes"/>
    <s v="Mountain Bikes"/>
    <s v="Mountain-400-W Silver, 46"/>
    <n v="4"/>
    <n v="420"/>
    <n v="769"/>
    <n v="1396"/>
    <n v="1680"/>
    <n v="3076"/>
  </r>
  <r>
    <s v="000261732"/>
    <d v="2021-12-12T00:00:00"/>
    <n v="12"/>
    <s v="December"/>
    <n v="2021"/>
    <n v="34"/>
    <x v="1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33"/>
    <d v="2021-12-12T00:00:00"/>
    <n v="12"/>
    <s v="December"/>
    <n v="2021"/>
    <n v="35"/>
    <x v="0"/>
    <x v="0"/>
    <x v="2"/>
    <s v="Victoria"/>
    <s v="Bikes"/>
    <s v="Mountain Bikes"/>
    <s v="Mountain-200 Silver, 42"/>
    <n v="1"/>
    <n v="1266"/>
    <n v="2320"/>
    <n v="1054"/>
    <n v="1266"/>
    <n v="2320"/>
  </r>
  <r>
    <s v="000261734"/>
    <d v="2021-12-12T00:00:00"/>
    <n v="12"/>
    <s v="December"/>
    <n v="2021"/>
    <n v="38"/>
    <x v="0"/>
    <x v="0"/>
    <x v="0"/>
    <s v="Washington"/>
    <s v="Bikes"/>
    <s v="Mountain Bikes"/>
    <s v="Mountain-200 Silver, 42"/>
    <n v="1"/>
    <n v="1266"/>
    <n v="2320"/>
    <n v="1054"/>
    <n v="1266"/>
    <n v="2320"/>
  </r>
  <r>
    <s v="000261735"/>
    <d v="2021-12-13T00:00:00"/>
    <n v="13"/>
    <s v="December"/>
    <n v="2021"/>
    <n v="32"/>
    <x v="1"/>
    <x v="0"/>
    <x v="2"/>
    <s v="Queensland"/>
    <s v="Bikes"/>
    <s v="Mountain Bikes"/>
    <s v="Mountain-200 Silver, 42"/>
    <n v="3"/>
    <n v="1266"/>
    <n v="2320"/>
    <n v="3162"/>
    <n v="3798"/>
    <n v="6960"/>
  </r>
  <r>
    <s v="000261736"/>
    <d v="2021-12-13T00:00:00"/>
    <n v="13"/>
    <s v="December"/>
    <n v="2021"/>
    <n v="40"/>
    <x v="0"/>
    <x v="0"/>
    <x v="0"/>
    <s v="California"/>
    <s v="Bikes"/>
    <s v="Mountain Bikes"/>
    <s v="Mountain-500 Silver, 40"/>
    <n v="1"/>
    <n v="308"/>
    <n v="565"/>
    <n v="257"/>
    <n v="308"/>
    <n v="565"/>
  </r>
  <r>
    <s v="000261737"/>
    <d v="2021-12-13T00:00:00"/>
    <n v="13"/>
    <s v="December"/>
    <n v="2021"/>
    <n v="44"/>
    <x v="0"/>
    <x v="0"/>
    <x v="1"/>
    <s v="England"/>
    <s v="Bikes"/>
    <s v="Mountain Bikes"/>
    <s v="Mountain-200 Black, 38"/>
    <n v="1"/>
    <n v="1252"/>
    <n v="2295"/>
    <n v="1043"/>
    <n v="1252"/>
    <n v="2295"/>
  </r>
  <r>
    <s v="000261738"/>
    <d v="2021-12-13T00:00:00"/>
    <n v="13"/>
    <s v="December"/>
    <n v="2021"/>
    <n v="49"/>
    <x v="0"/>
    <x v="1"/>
    <x v="1"/>
    <s v="England"/>
    <s v="Bikes"/>
    <s v="Mountain Bikes"/>
    <s v="Mountain-200 Black, 38"/>
    <n v="1"/>
    <n v="1252"/>
    <n v="2295"/>
    <n v="1043"/>
    <n v="1252"/>
    <n v="2295"/>
  </r>
  <r>
    <s v="000261739"/>
    <d v="2021-12-14T00:00:00"/>
    <n v="14"/>
    <s v="December"/>
    <n v="2021"/>
    <n v="30"/>
    <x v="1"/>
    <x v="0"/>
    <x v="0"/>
    <s v="Washington"/>
    <s v="Bikes"/>
    <s v="Mountain Bikes"/>
    <s v="Mountain-200 Silver, 38"/>
    <n v="2"/>
    <n v="1266"/>
    <n v="2320"/>
    <n v="2108"/>
    <n v="2532"/>
    <n v="4640"/>
  </r>
  <r>
    <s v="000261740"/>
    <d v="2021-12-14T00:00:00"/>
    <n v="14"/>
    <s v="December"/>
    <n v="2021"/>
    <n v="32"/>
    <x v="1"/>
    <x v="1"/>
    <x v="0"/>
    <s v="California"/>
    <s v="Bikes"/>
    <s v="Mountain Bikes"/>
    <s v="Mountain-200 Black, 46"/>
    <n v="1"/>
    <n v="1252"/>
    <n v="2295"/>
    <n v="1043"/>
    <n v="1252"/>
    <n v="2295"/>
  </r>
  <r>
    <s v="000261741"/>
    <d v="2021-12-14T00:00:00"/>
    <n v="14"/>
    <s v="December"/>
    <n v="2021"/>
    <n v="32"/>
    <x v="1"/>
    <x v="0"/>
    <x v="2"/>
    <s v="Victoria"/>
    <s v="Bikes"/>
    <s v="Mountain Bikes"/>
    <s v="Mountain-400-W Silver, 46"/>
    <n v="1"/>
    <n v="420"/>
    <n v="769"/>
    <n v="349"/>
    <n v="420"/>
    <n v="769"/>
  </r>
  <r>
    <s v="000261742"/>
    <d v="2021-12-15T00:00:00"/>
    <n v="15"/>
    <s v="December"/>
    <n v="2021"/>
    <n v="29"/>
    <x v="1"/>
    <x v="0"/>
    <x v="0"/>
    <s v="California"/>
    <s v="Bikes"/>
    <s v="Mountain Bikes"/>
    <s v="Mountain-200 Silver, 42"/>
    <n v="1"/>
    <n v="1266"/>
    <n v="2320"/>
    <n v="1054"/>
    <n v="1266"/>
    <n v="2320"/>
  </r>
  <r>
    <s v="000261743"/>
    <d v="2021-12-16T00:00:00"/>
    <n v="16"/>
    <s v="December"/>
    <n v="2021"/>
    <n v="33"/>
    <x v="1"/>
    <x v="0"/>
    <x v="2"/>
    <s v="New South Wales"/>
    <s v="Bikes"/>
    <s v="Mountain Bikes"/>
    <s v="Mountain-200 Black, 38"/>
    <n v="2"/>
    <n v="1252"/>
    <n v="2295"/>
    <n v="2086"/>
    <n v="2504"/>
    <n v="4590"/>
  </r>
  <r>
    <s v="000261744"/>
    <d v="2021-12-16T00:00:00"/>
    <n v="16"/>
    <s v="December"/>
    <n v="2021"/>
    <n v="38"/>
    <x v="0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45"/>
    <d v="2021-12-16T00:00:00"/>
    <n v="16"/>
    <s v="December"/>
    <n v="2021"/>
    <n v="27"/>
    <x v="1"/>
    <x v="0"/>
    <x v="7"/>
    <s v="Seine et Marne"/>
    <s v="Bikes"/>
    <s v="Mountain Bikes"/>
    <s v="Mountain-200 Silver, 46"/>
    <n v="1"/>
    <n v="1266"/>
    <n v="2320"/>
    <n v="1054"/>
    <n v="1266"/>
    <n v="2320"/>
  </r>
  <r>
    <s v="000261746"/>
    <d v="2021-12-17T00:00:00"/>
    <n v="17"/>
    <s v="December"/>
    <n v="2021"/>
    <n v="37"/>
    <x v="0"/>
    <x v="0"/>
    <x v="0"/>
    <s v="Washington"/>
    <s v="Bikes"/>
    <s v="Mountain Bikes"/>
    <s v="Mountain-200 Silver, 38"/>
    <n v="2"/>
    <n v="1266"/>
    <n v="2320"/>
    <n v="2108"/>
    <n v="2532"/>
    <n v="4640"/>
  </r>
  <r>
    <s v="000261747"/>
    <d v="2021-12-17T00:00:00"/>
    <n v="17"/>
    <s v="December"/>
    <n v="2021"/>
    <n v="31"/>
    <x v="1"/>
    <x v="1"/>
    <x v="2"/>
    <s v="New South Wales"/>
    <s v="Bikes"/>
    <s v="Mountain Bikes"/>
    <s v="Mountain-400-W Silver, 42"/>
    <n v="1"/>
    <n v="420"/>
    <n v="769"/>
    <n v="349"/>
    <n v="420"/>
    <n v="769"/>
  </r>
  <r>
    <s v="000261748"/>
    <d v="2021-12-17T00:00:00"/>
    <n v="17"/>
    <s v="December"/>
    <n v="2021"/>
    <n v="42"/>
    <x v="0"/>
    <x v="0"/>
    <x v="5"/>
    <s v="Nordrhein-Westfalen"/>
    <s v="Bikes"/>
    <s v="Mountain Bikes"/>
    <s v="Mountain-200 Silver, 46"/>
    <n v="1"/>
    <n v="1266"/>
    <n v="2320"/>
    <n v="1054"/>
    <n v="1266"/>
    <n v="2320"/>
  </r>
  <r>
    <s v="000261749"/>
    <d v="2021-12-18T00:00:00"/>
    <n v="18"/>
    <s v="December"/>
    <n v="2021"/>
    <n v="35"/>
    <x v="0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50"/>
    <d v="2021-12-18T00:00:00"/>
    <n v="18"/>
    <s v="December"/>
    <n v="2021"/>
    <n v="38"/>
    <x v="0"/>
    <x v="0"/>
    <x v="5"/>
    <s v="Nordrhein-Westfalen"/>
    <s v="Bikes"/>
    <s v="Mountain Bikes"/>
    <s v="Mountain-200 Silver, 46"/>
    <n v="4"/>
    <n v="1266"/>
    <n v="2320"/>
    <n v="4216"/>
    <n v="5064"/>
    <n v="9280"/>
  </r>
  <r>
    <s v="000261751"/>
    <d v="2021-12-18T00:00:00"/>
    <n v="18"/>
    <s v="December"/>
    <n v="2021"/>
    <n v="24"/>
    <x v="2"/>
    <x v="0"/>
    <x v="7"/>
    <s v="Seine Saint Denis"/>
    <s v="Bikes"/>
    <s v="Mountain Bikes"/>
    <s v="Mountain-200 Silver, 38"/>
    <n v="3"/>
    <n v="1266"/>
    <n v="2320"/>
    <n v="3162"/>
    <n v="3798"/>
    <n v="6960"/>
  </r>
  <r>
    <s v="000261752"/>
    <d v="2021-12-18T00:00:00"/>
    <n v="18"/>
    <s v="December"/>
    <n v="2021"/>
    <n v="26"/>
    <x v="1"/>
    <x v="0"/>
    <x v="1"/>
    <s v="England"/>
    <s v="Bikes"/>
    <s v="Mountain Bikes"/>
    <s v="Mountain-400-W Silver, 42"/>
    <n v="3"/>
    <n v="420"/>
    <n v="769"/>
    <n v="1047"/>
    <n v="1260"/>
    <n v="2307"/>
  </r>
  <r>
    <s v="000261753"/>
    <d v="2021-12-18T00:00:00"/>
    <n v="18"/>
    <s v="December"/>
    <n v="2021"/>
    <n v="39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54"/>
    <d v="2021-12-18T00:00:00"/>
    <n v="18"/>
    <s v="December"/>
    <n v="2021"/>
    <n v="26"/>
    <x v="1"/>
    <x v="1"/>
    <x v="7"/>
    <s v="Seine (Paris)"/>
    <s v="Bikes"/>
    <s v="Mountain Bikes"/>
    <s v="Mountain-200 Black, 46"/>
    <n v="1"/>
    <n v="1252"/>
    <n v="2295"/>
    <n v="1043"/>
    <n v="1252"/>
    <n v="2295"/>
  </r>
  <r>
    <s v="000261755"/>
    <d v="2021-12-18T00:00:00"/>
    <n v="18"/>
    <s v="December"/>
    <n v="2021"/>
    <n v="36"/>
    <x v="0"/>
    <x v="1"/>
    <x v="0"/>
    <s v="Washington"/>
    <s v="Bikes"/>
    <s v="Mountain Bikes"/>
    <s v="Mountain-200 Silver, 38"/>
    <n v="1"/>
    <n v="1266"/>
    <n v="2320"/>
    <n v="1054"/>
    <n v="1266"/>
    <n v="2320"/>
  </r>
  <r>
    <s v="000261756"/>
    <d v="2021-12-19T00:00:00"/>
    <n v="19"/>
    <s v="December"/>
    <n v="2021"/>
    <n v="17"/>
    <x v="2"/>
    <x v="1"/>
    <x v="7"/>
    <s v="Nord"/>
    <s v="Bikes"/>
    <s v="Mountain Bikes"/>
    <s v="Mountain-200 Silver, 46"/>
    <n v="4"/>
    <n v="1266"/>
    <n v="2320"/>
    <n v="4216"/>
    <n v="5064"/>
    <n v="9280"/>
  </r>
  <r>
    <s v="000261757"/>
    <d v="2021-12-19T00:00:00"/>
    <n v="19"/>
    <s v="December"/>
    <n v="2021"/>
    <n v="19"/>
    <x v="2"/>
    <x v="0"/>
    <x v="2"/>
    <s v="Victoria"/>
    <s v="Bikes"/>
    <s v="Mountain Bikes"/>
    <s v="Mountain-500 Black, 44"/>
    <n v="4"/>
    <n v="295"/>
    <n v="540"/>
    <n v="980"/>
    <n v="1180"/>
    <n v="2160"/>
  </r>
  <r>
    <s v="000261758"/>
    <d v="2021-12-19T00:00:00"/>
    <n v="19"/>
    <s v="December"/>
    <n v="2021"/>
    <n v="25"/>
    <x v="1"/>
    <x v="1"/>
    <x v="7"/>
    <s v="Seine (Paris)"/>
    <s v="Bikes"/>
    <s v="Mountain Bikes"/>
    <s v="Mountain-200 Black, 38"/>
    <n v="4"/>
    <n v="1252"/>
    <n v="2295"/>
    <n v="4172"/>
    <n v="5008"/>
    <n v="9180"/>
  </r>
  <r>
    <s v="000261759"/>
    <d v="2021-12-19T00:00:00"/>
    <n v="19"/>
    <s v="December"/>
    <n v="2021"/>
    <n v="35"/>
    <x v="0"/>
    <x v="0"/>
    <x v="0"/>
    <s v="Oregon"/>
    <s v="Bikes"/>
    <s v="Mountain Bikes"/>
    <s v="Mountain-100 Black, 48"/>
    <n v="4"/>
    <n v="1898"/>
    <n v="3375"/>
    <n v="5908"/>
    <n v="7592"/>
    <n v="13500"/>
  </r>
  <r>
    <s v="000261760"/>
    <d v="2021-12-19T00:00:00"/>
    <n v="19"/>
    <s v="December"/>
    <n v="2021"/>
    <n v="37"/>
    <x v="0"/>
    <x v="1"/>
    <x v="0"/>
    <s v="Oregon"/>
    <s v="Bikes"/>
    <s v="Mountain Bikes"/>
    <s v="Mountain-200 Black, 38"/>
    <n v="4"/>
    <n v="1252"/>
    <n v="2295"/>
    <n v="4172"/>
    <n v="5008"/>
    <n v="9180"/>
  </r>
  <r>
    <s v="000261761"/>
    <d v="2021-12-19T00:00:00"/>
    <n v="19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62"/>
    <d v="2021-12-19T00:00:00"/>
    <n v="19"/>
    <s v="December"/>
    <n v="2021"/>
    <n v="63"/>
    <x v="0"/>
    <x v="0"/>
    <x v="2"/>
    <s v="Queensland"/>
    <s v="Bikes"/>
    <s v="Mountain Bikes"/>
    <s v="Mountain-200 Black, 46"/>
    <n v="4"/>
    <n v="1252"/>
    <n v="2295"/>
    <n v="4172"/>
    <n v="5008"/>
    <n v="9180"/>
  </r>
  <r>
    <s v="000261763"/>
    <d v="2021-12-19T00:00:00"/>
    <n v="19"/>
    <s v="December"/>
    <n v="2021"/>
    <n v="18"/>
    <x v="2"/>
    <x v="1"/>
    <x v="2"/>
    <s v="South Australia"/>
    <s v="Bikes"/>
    <s v="Mountain Bikes"/>
    <s v="Mountain-500 Black, 40"/>
    <n v="2"/>
    <n v="295"/>
    <n v="540"/>
    <n v="490"/>
    <n v="590"/>
    <n v="1080"/>
  </r>
  <r>
    <s v="000261764"/>
    <d v="2021-12-19T00:00:00"/>
    <n v="19"/>
    <s v="December"/>
    <n v="2021"/>
    <n v="56"/>
    <x v="0"/>
    <x v="0"/>
    <x v="5"/>
    <s v="Hessen"/>
    <s v="Bikes"/>
    <s v="Mountain Bikes"/>
    <s v="Mountain-200 Black, 46"/>
    <n v="2"/>
    <n v="1252"/>
    <n v="2295"/>
    <n v="2086"/>
    <n v="2504"/>
    <n v="4590"/>
  </r>
  <r>
    <s v="000261765"/>
    <d v="2021-12-19T00:00:00"/>
    <n v="19"/>
    <s v="December"/>
    <n v="2021"/>
    <n v="39"/>
    <x v="0"/>
    <x v="0"/>
    <x v="0"/>
    <s v="Washington"/>
    <s v="Bikes"/>
    <s v="Mountain Bikes"/>
    <s v="Mountain-200 Silver, 38"/>
    <n v="1"/>
    <n v="1266"/>
    <n v="2320"/>
    <n v="1054"/>
    <n v="1266"/>
    <n v="2320"/>
  </r>
  <r>
    <s v="000261766"/>
    <d v="2021-12-20T00:00:00"/>
    <n v="20"/>
    <s v="December"/>
    <n v="2021"/>
    <n v="33"/>
    <x v="1"/>
    <x v="0"/>
    <x v="2"/>
    <s v="Victoria"/>
    <s v="Bikes"/>
    <s v="Mountain Bikes"/>
    <s v="Mountain-100 Black, 38"/>
    <n v="4"/>
    <n v="1898"/>
    <n v="3375"/>
    <n v="5908"/>
    <n v="7592"/>
    <n v="13500"/>
  </r>
  <r>
    <s v="000261767"/>
    <d v="2021-12-20T00:00:00"/>
    <n v="20"/>
    <s v="December"/>
    <n v="2021"/>
    <n v="57"/>
    <x v="0"/>
    <x v="1"/>
    <x v="2"/>
    <s v="Queensland"/>
    <s v="Bikes"/>
    <s v="Mountain Bikes"/>
    <s v="Mountain-200 Black, 46"/>
    <n v="4"/>
    <n v="1252"/>
    <n v="2295"/>
    <n v="4172"/>
    <n v="5008"/>
    <n v="9180"/>
  </r>
  <r>
    <s v="000261768"/>
    <d v="2021-12-20T00:00:00"/>
    <n v="20"/>
    <s v="December"/>
    <n v="2021"/>
    <n v="29"/>
    <x v="1"/>
    <x v="1"/>
    <x v="6"/>
    <s v="British Columbia"/>
    <s v="Bikes"/>
    <s v="Mountain Bikes"/>
    <s v="Mountain-500 Black, 52"/>
    <n v="3"/>
    <n v="295"/>
    <n v="540"/>
    <n v="735"/>
    <n v="885"/>
    <n v="1620"/>
  </r>
  <r>
    <s v="000261769"/>
    <d v="2021-12-20T00:00:00"/>
    <n v="20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70"/>
    <d v="2021-12-20T00:00:00"/>
    <n v="20"/>
    <s v="December"/>
    <n v="2021"/>
    <n v="35"/>
    <x v="0"/>
    <x v="1"/>
    <x v="2"/>
    <s v="Victoria"/>
    <s v="Bikes"/>
    <s v="Mountain Bikes"/>
    <s v="Mountain-200 Silver, 38"/>
    <n v="1"/>
    <n v="1266"/>
    <n v="2320"/>
    <n v="1054"/>
    <n v="1266"/>
    <n v="2320"/>
  </r>
  <r>
    <s v="000261771"/>
    <d v="2021-12-21T00:00:00"/>
    <n v="21"/>
    <s v="December"/>
    <n v="2021"/>
    <n v="26"/>
    <x v="1"/>
    <x v="1"/>
    <x v="7"/>
    <s v="Somme"/>
    <s v="Bikes"/>
    <s v="Mountain Bikes"/>
    <s v="Mountain-200 Silver, 38"/>
    <n v="3"/>
    <n v="1266"/>
    <n v="2320"/>
    <n v="3162"/>
    <n v="3798"/>
    <n v="6960"/>
  </r>
  <r>
    <s v="000261772"/>
    <d v="2021-12-21T00:00:00"/>
    <n v="21"/>
    <s v="December"/>
    <n v="2021"/>
    <n v="23"/>
    <x v="2"/>
    <x v="1"/>
    <x v="1"/>
    <s v="England"/>
    <s v="Bikes"/>
    <s v="Mountain Bikes"/>
    <s v="Mountain-400-W Silver, 46"/>
    <n v="2"/>
    <n v="420"/>
    <n v="769"/>
    <n v="698"/>
    <n v="840"/>
    <n v="1538"/>
  </r>
  <r>
    <s v="000261773"/>
    <d v="2021-12-22T00:00:00"/>
    <n v="22"/>
    <s v="December"/>
    <n v="2021"/>
    <n v="30"/>
    <x v="1"/>
    <x v="0"/>
    <x v="0"/>
    <s v="Washington"/>
    <s v="Bikes"/>
    <s v="Mountain Bikes"/>
    <s v="Mountain-200 Silver, 38"/>
    <n v="3"/>
    <n v="1266"/>
    <n v="2320"/>
    <n v="3162"/>
    <n v="3798"/>
    <n v="6960"/>
  </r>
  <r>
    <s v="000261774"/>
    <d v="2021-12-22T00:00:00"/>
    <n v="22"/>
    <s v="December"/>
    <n v="2021"/>
    <n v="41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75"/>
    <d v="2021-12-22T00:00:00"/>
    <n v="22"/>
    <s v="December"/>
    <n v="2021"/>
    <n v="19"/>
    <x v="2"/>
    <x v="0"/>
    <x v="2"/>
    <s v="New South Wales"/>
    <s v="Bikes"/>
    <s v="Mountain Bikes"/>
    <s v="Mountain-500 Silver, 42"/>
    <n v="1"/>
    <n v="308"/>
    <n v="565"/>
    <n v="257"/>
    <n v="308"/>
    <n v="565"/>
  </r>
  <r>
    <s v="000261776"/>
    <d v="2021-12-22T00:00:00"/>
    <n v="22"/>
    <s v="December"/>
    <n v="2021"/>
    <n v="25"/>
    <x v="1"/>
    <x v="1"/>
    <x v="7"/>
    <s v="Seine (Paris)"/>
    <s v="Bikes"/>
    <s v="Mountain Bikes"/>
    <s v="Mountain-200 Black, 38"/>
    <n v="1"/>
    <n v="1252"/>
    <n v="2295"/>
    <n v="1043"/>
    <n v="1252"/>
    <n v="2295"/>
  </r>
  <r>
    <s v="000261777"/>
    <d v="2021-12-22T00:00:00"/>
    <n v="22"/>
    <s v="December"/>
    <n v="2021"/>
    <n v="27"/>
    <x v="1"/>
    <x v="0"/>
    <x v="6"/>
    <s v="British Columbia"/>
    <s v="Bikes"/>
    <s v="Mountain Bikes"/>
    <s v="Mountain-200 Black, 46"/>
    <n v="1"/>
    <n v="1252"/>
    <n v="2295"/>
    <n v="1043"/>
    <n v="1252"/>
    <n v="2295"/>
  </r>
  <r>
    <s v="000261778"/>
    <d v="2021-12-22T00:00:00"/>
    <n v="22"/>
    <s v="December"/>
    <n v="2021"/>
    <n v="41"/>
    <x v="0"/>
    <x v="1"/>
    <x v="5"/>
    <s v="Hessen"/>
    <s v="Bikes"/>
    <s v="Mountain Bikes"/>
    <s v="Mountain-200 Silver, 38"/>
    <n v="1"/>
    <n v="1266"/>
    <n v="2320"/>
    <n v="1054"/>
    <n v="1266"/>
    <n v="2320"/>
  </r>
  <r>
    <s v="000261779"/>
    <d v="2021-12-23T00:00:00"/>
    <n v="23"/>
    <s v="December"/>
    <n v="2021"/>
    <n v="30"/>
    <x v="1"/>
    <x v="0"/>
    <x v="0"/>
    <s v="Oregon"/>
    <s v="Bikes"/>
    <s v="Mountain Bikes"/>
    <s v="Mountain-200 Silver, 42"/>
    <n v="1"/>
    <n v="1266"/>
    <n v="2320"/>
    <n v="1054"/>
    <n v="1266"/>
    <n v="2320"/>
  </r>
  <r>
    <s v="000261780"/>
    <d v="2021-12-23T00:00:00"/>
    <n v="23"/>
    <s v="December"/>
    <n v="2021"/>
    <n v="31"/>
    <x v="1"/>
    <x v="0"/>
    <x v="6"/>
    <s v="British Columbia"/>
    <s v="Bikes"/>
    <s v="Mountain Bikes"/>
    <s v="Mountain-200 Black, 42"/>
    <n v="1"/>
    <n v="1252"/>
    <n v="2295"/>
    <n v="1043"/>
    <n v="1252"/>
    <n v="2295"/>
  </r>
  <r>
    <s v="000261781"/>
    <d v="2021-12-23T00:00:00"/>
    <n v="23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82"/>
    <d v="2021-12-24T00:00:00"/>
    <n v="24"/>
    <s v="December"/>
    <n v="2021"/>
    <n v="38"/>
    <x v="0"/>
    <x v="1"/>
    <x v="2"/>
    <s v="Queensland"/>
    <s v="Bikes"/>
    <s v="Mountain Bikes"/>
    <s v="Mountain-200 Black, 42"/>
    <n v="4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2" cacheId="0" applyNumberFormats="0" applyBorderFormats="0" applyFontFormats="0" applyPatternFormats="0" applyAlignmentFormats="0" applyWidthHeightFormats="1" dataCaption="Values" missingCaption="0" updatedVersion="6" minRefreshableVersion="3" useAutoFormatting="1" itemPrintTitles="1" createdVersion="6" indent="0" outline="1" outlineData="1" multipleFieldFilters="0" chartFormat="2">
  <location ref="A3:J14" firstHeaderRow="1" firstDataRow="2" firstDataCol="1"/>
  <pivotFields count="19">
    <pivotField showAll="0"/>
    <pivotField numFmtId="14" showAll="0"/>
    <pivotField showAll="0"/>
    <pivotField showAll="0"/>
    <pivotField showAll="0"/>
    <pivotField showAll="0"/>
    <pivotField axis="axisRow" showAll="0" sortType="descending">
      <items count="4">
        <item x="2"/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axis="axisCol" showAll="0">
      <items count="9">
        <item x="2"/>
        <item x="6"/>
        <item x="7"/>
        <item x="5"/>
        <item x="3"/>
        <item x="1"/>
        <item x="0"/>
        <item x="4"/>
        <item t="default"/>
      </items>
    </pivotField>
    <pivotField showAll="0"/>
    <pivotField showAll="0"/>
    <pivotField showAll="0"/>
    <pivotField showAll="0"/>
    <pivotField dataField="1" showAll="0"/>
    <pivotField numFmtId="164" showAll="0"/>
    <pivotField numFmtId="164" showAll="0"/>
    <pivotField numFmtId="164" showAll="0"/>
    <pivotField numFmtId="164" showAll="0"/>
    <pivotField numFmtId="164" showAll="0"/>
  </pivotFields>
  <rowFields count="2">
    <field x="6"/>
    <field x="7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8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Order_Quantity" fld="13" baseField="0" baseItem="0"/>
  </dataFields>
  <formats count="1">
    <format dxfId="0">
      <pivotArea type="all" dataOnly="0" outline="0" fieldPosition="0"/>
    </format>
  </formats>
  <chartFormats count="8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0">
  <location ref="A3:J8" firstHeaderRow="1" firstDataRow="2" firstDataCol="1"/>
  <pivotFields count="19">
    <pivotField showAll="0"/>
    <pivotField numFmtId="14" showAll="0"/>
    <pivotField showAll="0"/>
    <pivotField showAll="0"/>
    <pivotField showAll="0"/>
    <pivotField showAll="0"/>
    <pivotField axis="axisRow" showAll="0">
      <items count="4">
        <item sd="0" x="0"/>
        <item sd="0" x="1"/>
        <item sd="0" x="2"/>
        <item t="default"/>
      </items>
    </pivotField>
    <pivotField axis="axisRow" showAll="0">
      <items count="3">
        <item x="0"/>
        <item x="1"/>
        <item t="default"/>
      </items>
    </pivotField>
    <pivotField axis="axisCol" showAll="0">
      <items count="9">
        <item x="2"/>
        <item x="6"/>
        <item x="7"/>
        <item x="5"/>
        <item x="3"/>
        <item x="1"/>
        <item x="0"/>
        <item x="4"/>
        <item t="default"/>
      </items>
    </pivotField>
    <pivotField showAll="0"/>
    <pivotField showAll="0"/>
    <pivotField showAll="0"/>
    <pivotField showAll="0"/>
    <pivotField showAll="0"/>
    <pivotField numFmtId="164" showAll="0"/>
    <pivotField numFmtId="164" showAll="0"/>
    <pivotField dataField="1" numFmtId="164" showAll="0"/>
    <pivotField numFmtId="164" showAll="0"/>
    <pivotField numFmtId="164" showAll="0"/>
  </pivotFields>
  <rowFields count="2">
    <field x="6"/>
    <field x="7"/>
  </rowFields>
  <rowItems count="4">
    <i>
      <x/>
    </i>
    <i>
      <x v="1"/>
    </i>
    <i>
      <x v="2"/>
    </i>
    <i t="grand">
      <x/>
    </i>
  </rowItems>
  <colFields count="1">
    <field x="8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 Profit " fld="16" baseField="0" baseItem="0"/>
  </dataFields>
  <chartFormats count="8"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9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9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9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14"/>
  <sheetViews>
    <sheetView tabSelected="1" zoomScale="85" zoomScaleNormal="85" workbookViewId="0">
      <selection activeCell="AD9" sqref="AD9:AE9"/>
    </sheetView>
  </sheetViews>
  <sheetFormatPr defaultRowHeight="15" x14ac:dyDescent="0.25"/>
  <cols>
    <col min="1" max="1" width="21.85546875" customWidth="1"/>
    <col min="2" max="2" width="18.5703125" bestFit="1" customWidth="1"/>
    <col min="3" max="3" width="7.42578125" customWidth="1"/>
    <col min="4" max="4" width="6.85546875" customWidth="1"/>
    <col min="6" max="6" width="13.5703125" bestFit="1" customWidth="1"/>
    <col min="7" max="7" width="15.5703125" bestFit="1" customWidth="1"/>
    <col min="8" max="8" width="13.140625" bestFit="1" customWidth="1"/>
    <col min="9" max="9" width="13.5703125" bestFit="1" customWidth="1"/>
    <col min="10" max="10" width="11.28515625" bestFit="1" customWidth="1"/>
  </cols>
  <sheetData>
    <row r="3" spans="1:10" x14ac:dyDescent="0.25">
      <c r="A3" s="10" t="s">
        <v>160</v>
      </c>
      <c r="B3" s="10" t="s">
        <v>161</v>
      </c>
      <c r="C3" s="11"/>
      <c r="D3" s="11"/>
      <c r="E3" s="11"/>
      <c r="F3" s="11"/>
      <c r="G3" s="11"/>
      <c r="H3" s="11"/>
      <c r="I3" s="11"/>
      <c r="J3" s="11"/>
    </row>
    <row r="4" spans="1:10" x14ac:dyDescent="0.25">
      <c r="A4" s="10" t="s">
        <v>158</v>
      </c>
      <c r="B4" s="11" t="s">
        <v>36</v>
      </c>
      <c r="C4" s="11" t="s">
        <v>58</v>
      </c>
      <c r="D4" s="11" t="s">
        <v>87</v>
      </c>
      <c r="E4" s="11" t="s">
        <v>50</v>
      </c>
      <c r="F4" s="11" t="s">
        <v>40</v>
      </c>
      <c r="G4" s="11" t="s">
        <v>29</v>
      </c>
      <c r="H4" s="11" t="s">
        <v>23</v>
      </c>
      <c r="I4" s="11" t="s">
        <v>45</v>
      </c>
      <c r="J4" s="11" t="s">
        <v>159</v>
      </c>
    </row>
    <row r="5" spans="1:10" x14ac:dyDescent="0.25">
      <c r="A5" s="11" t="s">
        <v>42</v>
      </c>
      <c r="B5" s="11">
        <v>11</v>
      </c>
      <c r="C5" s="11">
        <v>0</v>
      </c>
      <c r="D5" s="11">
        <v>10</v>
      </c>
      <c r="E5" s="11">
        <v>0</v>
      </c>
      <c r="F5" s="11">
        <v>0</v>
      </c>
      <c r="G5" s="11">
        <v>6</v>
      </c>
      <c r="H5" s="11">
        <v>0</v>
      </c>
      <c r="I5" s="11">
        <v>0</v>
      </c>
      <c r="J5" s="11">
        <v>27</v>
      </c>
    </row>
    <row r="6" spans="1:10" x14ac:dyDescent="0.25">
      <c r="A6" s="12" t="s">
        <v>22</v>
      </c>
      <c r="B6" s="11">
        <v>9</v>
      </c>
      <c r="C6" s="11">
        <v>0</v>
      </c>
      <c r="D6" s="11">
        <v>6</v>
      </c>
      <c r="E6" s="11">
        <v>0</v>
      </c>
      <c r="F6" s="11">
        <v>0</v>
      </c>
      <c r="G6" s="11">
        <v>1</v>
      </c>
      <c r="H6" s="11">
        <v>0</v>
      </c>
      <c r="I6" s="11">
        <v>0</v>
      </c>
      <c r="J6" s="11">
        <v>16</v>
      </c>
    </row>
    <row r="7" spans="1:10" x14ac:dyDescent="0.25">
      <c r="A7" s="12" t="s">
        <v>28</v>
      </c>
      <c r="B7" s="11">
        <v>2</v>
      </c>
      <c r="C7" s="11">
        <v>0</v>
      </c>
      <c r="D7" s="11">
        <v>4</v>
      </c>
      <c r="E7" s="11">
        <v>0</v>
      </c>
      <c r="F7" s="11">
        <v>0</v>
      </c>
      <c r="G7" s="11">
        <v>5</v>
      </c>
      <c r="H7" s="11">
        <v>0</v>
      </c>
      <c r="I7" s="11">
        <v>0</v>
      </c>
      <c r="J7" s="11">
        <v>11</v>
      </c>
    </row>
    <row r="8" spans="1:10" x14ac:dyDescent="0.25">
      <c r="A8" s="11" t="s">
        <v>35</v>
      </c>
      <c r="B8" s="11">
        <v>20</v>
      </c>
      <c r="C8" s="11">
        <v>11</v>
      </c>
      <c r="D8" s="11">
        <v>10</v>
      </c>
      <c r="E8" s="11">
        <v>0</v>
      </c>
      <c r="F8" s="11">
        <v>0</v>
      </c>
      <c r="G8" s="11">
        <v>4</v>
      </c>
      <c r="H8" s="11">
        <v>16</v>
      </c>
      <c r="I8" s="11">
        <v>0</v>
      </c>
      <c r="J8" s="11">
        <v>61</v>
      </c>
    </row>
    <row r="9" spans="1:10" x14ac:dyDescent="0.25">
      <c r="A9" s="12" t="s">
        <v>22</v>
      </c>
      <c r="B9" s="11">
        <v>17</v>
      </c>
      <c r="C9" s="11">
        <v>6</v>
      </c>
      <c r="D9" s="11">
        <v>1</v>
      </c>
      <c r="E9" s="11">
        <v>0</v>
      </c>
      <c r="F9" s="11">
        <v>0</v>
      </c>
      <c r="G9" s="11">
        <v>3</v>
      </c>
      <c r="H9" s="11">
        <v>10</v>
      </c>
      <c r="I9" s="11">
        <v>0</v>
      </c>
      <c r="J9" s="11">
        <v>37</v>
      </c>
    </row>
    <row r="10" spans="1:10" x14ac:dyDescent="0.25">
      <c r="A10" s="12" t="s">
        <v>28</v>
      </c>
      <c r="B10" s="11">
        <v>3</v>
      </c>
      <c r="C10" s="11">
        <v>5</v>
      </c>
      <c r="D10" s="11">
        <v>9</v>
      </c>
      <c r="E10" s="11">
        <v>0</v>
      </c>
      <c r="F10" s="11">
        <v>0</v>
      </c>
      <c r="G10" s="11">
        <v>1</v>
      </c>
      <c r="H10" s="11">
        <v>6</v>
      </c>
      <c r="I10" s="11">
        <v>0</v>
      </c>
      <c r="J10" s="11">
        <v>24</v>
      </c>
    </row>
    <row r="11" spans="1:10" x14ac:dyDescent="0.25">
      <c r="A11" s="11" t="s">
        <v>21</v>
      </c>
      <c r="B11" s="11">
        <v>32</v>
      </c>
      <c r="C11" s="11">
        <v>0</v>
      </c>
      <c r="D11" s="11">
        <v>0</v>
      </c>
      <c r="E11" s="11">
        <v>13</v>
      </c>
      <c r="F11" s="11">
        <v>2</v>
      </c>
      <c r="G11" s="11">
        <v>4</v>
      </c>
      <c r="H11" s="11">
        <v>47</v>
      </c>
      <c r="I11" s="11">
        <v>1</v>
      </c>
      <c r="J11" s="11">
        <v>99</v>
      </c>
    </row>
    <row r="12" spans="1:10" x14ac:dyDescent="0.25">
      <c r="A12" s="12" t="s">
        <v>22</v>
      </c>
      <c r="B12" s="11">
        <v>17</v>
      </c>
      <c r="C12" s="11">
        <v>0</v>
      </c>
      <c r="D12" s="11">
        <v>0</v>
      </c>
      <c r="E12" s="11">
        <v>8</v>
      </c>
      <c r="F12" s="11">
        <v>2</v>
      </c>
      <c r="G12" s="11">
        <v>1</v>
      </c>
      <c r="H12" s="11">
        <v>27</v>
      </c>
      <c r="I12" s="11">
        <v>0</v>
      </c>
      <c r="J12" s="11">
        <v>55</v>
      </c>
    </row>
    <row r="13" spans="1:10" x14ac:dyDescent="0.25">
      <c r="A13" s="12" t="s">
        <v>28</v>
      </c>
      <c r="B13" s="11">
        <v>15</v>
      </c>
      <c r="C13" s="11">
        <v>0</v>
      </c>
      <c r="D13" s="11">
        <v>0</v>
      </c>
      <c r="E13" s="11">
        <v>5</v>
      </c>
      <c r="F13" s="11">
        <v>0</v>
      </c>
      <c r="G13" s="11">
        <v>3</v>
      </c>
      <c r="H13" s="11">
        <v>20</v>
      </c>
      <c r="I13" s="11">
        <v>1</v>
      </c>
      <c r="J13" s="11">
        <v>44</v>
      </c>
    </row>
    <row r="14" spans="1:10" x14ac:dyDescent="0.25">
      <c r="A14" s="11" t="s">
        <v>159</v>
      </c>
      <c r="B14" s="11">
        <v>63</v>
      </c>
      <c r="C14" s="11">
        <v>11</v>
      </c>
      <c r="D14" s="11">
        <v>20</v>
      </c>
      <c r="E14" s="11">
        <v>13</v>
      </c>
      <c r="F14" s="11">
        <v>2</v>
      </c>
      <c r="G14" s="11">
        <v>14</v>
      </c>
      <c r="H14" s="11">
        <v>63</v>
      </c>
      <c r="I14" s="11">
        <v>1</v>
      </c>
      <c r="J14" s="11">
        <v>187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J8"/>
  <sheetViews>
    <sheetView workbookViewId="0">
      <selection activeCell="F32" sqref="F32"/>
    </sheetView>
  </sheetViews>
  <sheetFormatPr defaultRowHeight="15" x14ac:dyDescent="0.25"/>
  <cols>
    <col min="1" max="1" width="21.42578125" customWidth="1"/>
    <col min="2" max="2" width="16.28515625" bestFit="1" customWidth="1"/>
    <col min="3" max="3" width="7.42578125" customWidth="1"/>
    <col min="4" max="4" width="6.85546875" customWidth="1"/>
    <col min="6" max="6" width="13.5703125" bestFit="1" customWidth="1"/>
    <col min="7" max="7" width="15.5703125" bestFit="1" customWidth="1"/>
    <col min="8" max="8" width="13.140625" bestFit="1" customWidth="1"/>
    <col min="9" max="9" width="13.5703125" bestFit="1" customWidth="1"/>
    <col min="10" max="10" width="11.28515625" bestFit="1" customWidth="1"/>
  </cols>
  <sheetData>
    <row r="3" spans="1:10" x14ac:dyDescent="0.25">
      <c r="A3" s="9" t="s">
        <v>162</v>
      </c>
      <c r="B3" s="9" t="s">
        <v>161</v>
      </c>
    </row>
    <row r="4" spans="1:10" x14ac:dyDescent="0.25">
      <c r="A4" s="9" t="s">
        <v>158</v>
      </c>
      <c r="B4" t="s">
        <v>36</v>
      </c>
      <c r="C4" t="s">
        <v>58</v>
      </c>
      <c r="D4" t="s">
        <v>87</v>
      </c>
      <c r="E4" t="s">
        <v>50</v>
      </c>
      <c r="F4" t="s">
        <v>40</v>
      </c>
      <c r="G4" t="s">
        <v>29</v>
      </c>
      <c r="H4" t="s">
        <v>23</v>
      </c>
      <c r="I4" t="s">
        <v>45</v>
      </c>
      <c r="J4" t="s">
        <v>159</v>
      </c>
    </row>
    <row r="5" spans="1:10" x14ac:dyDescent="0.25">
      <c r="A5" s="8" t="s">
        <v>21</v>
      </c>
      <c r="B5">
        <v>28932</v>
      </c>
      <c r="E5">
        <v>13636</v>
      </c>
      <c r="F5">
        <v>2086</v>
      </c>
      <c r="G5">
        <v>4194</v>
      </c>
      <c r="H5">
        <v>43605</v>
      </c>
      <c r="I5">
        <v>1043</v>
      </c>
      <c r="J5">
        <v>93496</v>
      </c>
    </row>
    <row r="6" spans="1:10" x14ac:dyDescent="0.25">
      <c r="A6" s="8" t="s">
        <v>35</v>
      </c>
      <c r="B6">
        <v>18639</v>
      </c>
      <c r="C6">
        <v>9123</v>
      </c>
      <c r="D6">
        <v>10474</v>
      </c>
      <c r="G6">
        <v>2090</v>
      </c>
      <c r="H6">
        <v>13636</v>
      </c>
      <c r="J6">
        <v>53962</v>
      </c>
    </row>
    <row r="7" spans="1:10" x14ac:dyDescent="0.25">
      <c r="A7" s="8" t="s">
        <v>42</v>
      </c>
      <c r="B7">
        <v>2755</v>
      </c>
      <c r="D7">
        <v>10507</v>
      </c>
      <c r="G7">
        <v>2788</v>
      </c>
      <c r="J7">
        <v>16050</v>
      </c>
    </row>
    <row r="8" spans="1:10" x14ac:dyDescent="0.25">
      <c r="A8" s="8" t="s">
        <v>159</v>
      </c>
      <c r="B8">
        <v>50326</v>
      </c>
      <c r="C8">
        <v>9123</v>
      </c>
      <c r="D8">
        <v>20981</v>
      </c>
      <c r="E8">
        <v>13636</v>
      </c>
      <c r="F8">
        <v>2086</v>
      </c>
      <c r="G8">
        <v>9072</v>
      </c>
      <c r="H8">
        <v>57241</v>
      </c>
      <c r="I8">
        <v>1043</v>
      </c>
      <c r="J8">
        <v>163508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89"/>
  <sheetViews>
    <sheetView topLeftCell="B14" zoomScale="85" zoomScaleNormal="85" workbookViewId="0">
      <selection activeCell="V49" sqref="V49"/>
    </sheetView>
  </sheetViews>
  <sheetFormatPr defaultRowHeight="15" x14ac:dyDescent="0.25"/>
  <cols>
    <col min="1" max="1" width="25.7109375" customWidth="1"/>
    <col min="2" max="2" width="21.140625" customWidth="1"/>
    <col min="4" max="4" width="10.140625" bestFit="1" customWidth="1"/>
    <col min="7" max="7" width="19.7109375" style="8" bestFit="1" customWidth="1"/>
    <col min="9" max="9" width="15.42578125" bestFit="1" customWidth="1"/>
    <col min="10" max="10" width="19.85546875" bestFit="1" customWidth="1"/>
    <col min="12" max="12" width="21.5703125" customWidth="1"/>
    <col min="13" max="13" width="29.85546875" customWidth="1"/>
    <col min="14" max="14" width="25" customWidth="1"/>
    <col min="15" max="15" width="10.42578125" bestFit="1" customWidth="1"/>
    <col min="16" max="16" width="11" bestFit="1" customWidth="1"/>
    <col min="17" max="17" width="9.85546875" bestFit="1" customWidth="1"/>
    <col min="18" max="18" width="13.28515625" customWidth="1"/>
    <col min="19" max="19" width="19.5703125" customWidth="1"/>
  </cols>
  <sheetData>
    <row r="1" spans="1:19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25">
      <c r="A2" s="3" t="s">
        <v>157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25">
      <c r="A3" s="3" t="s">
        <v>19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28</v>
      </c>
      <c r="I3" t="s">
        <v>29</v>
      </c>
      <c r="J3" t="s">
        <v>30</v>
      </c>
      <c r="K3" t="s">
        <v>25</v>
      </c>
      <c r="L3" t="s">
        <v>26</v>
      </c>
      <c r="M3" s="5" t="s">
        <v>31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 x14ac:dyDescent="0.25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28</v>
      </c>
      <c r="I4" t="s">
        <v>23</v>
      </c>
      <c r="J4" t="s">
        <v>24</v>
      </c>
      <c r="K4" t="s">
        <v>25</v>
      </c>
      <c r="L4" t="s">
        <v>26</v>
      </c>
      <c r="M4" s="5" t="s">
        <v>33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25">
      <c r="A5" s="3" t="s">
        <v>34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35</v>
      </c>
      <c r="H5" t="s">
        <v>22</v>
      </c>
      <c r="I5" t="s">
        <v>36</v>
      </c>
      <c r="J5" t="s">
        <v>37</v>
      </c>
      <c r="K5" t="s">
        <v>25</v>
      </c>
      <c r="L5" t="s">
        <v>26</v>
      </c>
      <c r="M5" s="5" t="s">
        <v>38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25">
      <c r="A6" s="3" t="s">
        <v>39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40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 x14ac:dyDescent="0.25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29</v>
      </c>
      <c r="J7" t="s">
        <v>30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25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28</v>
      </c>
      <c r="I8" t="s">
        <v>45</v>
      </c>
      <c r="J8" t="s">
        <v>46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x14ac:dyDescent="0.25">
      <c r="A9" s="3" t="s">
        <v>47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35</v>
      </c>
      <c r="H9" t="s">
        <v>22</v>
      </c>
      <c r="I9" t="s">
        <v>36</v>
      </c>
      <c r="J9" t="s">
        <v>37</v>
      </c>
      <c r="K9" t="s">
        <v>25</v>
      </c>
      <c r="L9" t="s">
        <v>26</v>
      </c>
      <c r="M9" s="5" t="s">
        <v>38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 x14ac:dyDescent="0.25">
      <c r="A10" s="3" t="s">
        <v>48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 x14ac:dyDescent="0.25">
      <c r="A11" s="3" t="s">
        <v>49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28</v>
      </c>
      <c r="I11" t="s">
        <v>50</v>
      </c>
      <c r="J11" t="s">
        <v>51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25">
      <c r="A12" s="3" t="s">
        <v>52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36</v>
      </c>
      <c r="J12" t="s">
        <v>53</v>
      </c>
      <c r="K12" t="s">
        <v>25</v>
      </c>
      <c r="L12" t="s">
        <v>26</v>
      </c>
      <c r="M12" s="5" t="s">
        <v>54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 x14ac:dyDescent="0.25">
      <c r="A13" s="3" t="s">
        <v>55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 x14ac:dyDescent="0.25">
      <c r="A14" s="3" t="s">
        <v>56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28</v>
      </c>
      <c r="I14" t="s">
        <v>29</v>
      </c>
      <c r="J14" t="s">
        <v>30</v>
      </c>
      <c r="K14" t="s">
        <v>25</v>
      </c>
      <c r="L14" t="s">
        <v>26</v>
      </c>
      <c r="M14" s="5" t="s">
        <v>33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 x14ac:dyDescent="0.25">
      <c r="A15" s="3" t="s">
        <v>57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35</v>
      </c>
      <c r="H15" t="s">
        <v>28</v>
      </c>
      <c r="I15" t="s">
        <v>58</v>
      </c>
      <c r="J15" t="s">
        <v>59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 x14ac:dyDescent="0.25">
      <c r="A16" s="3" t="s">
        <v>60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28</v>
      </c>
      <c r="I16" t="s">
        <v>36</v>
      </c>
      <c r="J16" t="s">
        <v>37</v>
      </c>
      <c r="K16" t="s">
        <v>25</v>
      </c>
      <c r="L16" t="s">
        <v>26</v>
      </c>
      <c r="M16" s="5" t="s">
        <v>61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25">
      <c r="A17" s="3" t="s">
        <v>62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28</v>
      </c>
      <c r="I17" t="s">
        <v>29</v>
      </c>
      <c r="J17" t="s">
        <v>30</v>
      </c>
      <c r="K17" t="s">
        <v>25</v>
      </c>
      <c r="L17" t="s">
        <v>26</v>
      </c>
      <c r="M17" s="5" t="s">
        <v>54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 x14ac:dyDescent="0.25">
      <c r="A18" s="3" t="s">
        <v>63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35</v>
      </c>
      <c r="H18" t="s">
        <v>28</v>
      </c>
      <c r="I18" t="s">
        <v>23</v>
      </c>
      <c r="J18" t="s">
        <v>24</v>
      </c>
      <c r="K18" t="s">
        <v>25</v>
      </c>
      <c r="L18" t="s">
        <v>26</v>
      </c>
      <c r="M18" s="5" t="s">
        <v>64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 x14ac:dyDescent="0.25">
      <c r="A19" s="3" t="s">
        <v>65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28</v>
      </c>
      <c r="I19" t="s">
        <v>23</v>
      </c>
      <c r="J19" t="s">
        <v>24</v>
      </c>
      <c r="K19" t="s">
        <v>25</v>
      </c>
      <c r="L19" t="s">
        <v>26</v>
      </c>
      <c r="M19" s="5" t="s">
        <v>31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 x14ac:dyDescent="0.25">
      <c r="A20" s="3" t="s">
        <v>66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36</v>
      </c>
      <c r="J20" t="s">
        <v>37</v>
      </c>
      <c r="K20" t="s">
        <v>25</v>
      </c>
      <c r="L20" t="s">
        <v>26</v>
      </c>
      <c r="M20" s="5" t="s">
        <v>67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 x14ac:dyDescent="0.25">
      <c r="A21" s="3" t="s">
        <v>68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35</v>
      </c>
      <c r="H21" t="s">
        <v>22</v>
      </c>
      <c r="I21" t="s">
        <v>58</v>
      </c>
      <c r="J21" t="s">
        <v>59</v>
      </c>
      <c r="K21" t="s">
        <v>25</v>
      </c>
      <c r="L21" t="s">
        <v>26</v>
      </c>
      <c r="M21" s="5" t="s">
        <v>54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 x14ac:dyDescent="0.25">
      <c r="A22" s="3" t="s">
        <v>69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70</v>
      </c>
      <c r="K22" t="s">
        <v>25</v>
      </c>
      <c r="L22" t="s">
        <v>26</v>
      </c>
      <c r="M22" s="5" t="s">
        <v>72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 x14ac:dyDescent="0.25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72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 x14ac:dyDescent="0.25">
      <c r="A24" s="3" t="s">
        <v>73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35</v>
      </c>
      <c r="H24" t="s">
        <v>22</v>
      </c>
      <c r="I24" t="s">
        <v>36</v>
      </c>
      <c r="J24" t="s">
        <v>74</v>
      </c>
      <c r="K24" t="s">
        <v>25</v>
      </c>
      <c r="L24" t="s">
        <v>26</v>
      </c>
      <c r="M24" s="5" t="s">
        <v>75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 x14ac:dyDescent="0.25">
      <c r="A25" s="3" t="s">
        <v>76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50</v>
      </c>
      <c r="J25" t="s">
        <v>77</v>
      </c>
      <c r="K25" t="s">
        <v>25</v>
      </c>
      <c r="L25" t="s">
        <v>26</v>
      </c>
      <c r="M25" s="5" t="s">
        <v>31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 x14ac:dyDescent="0.25">
      <c r="A26" s="3" t="s">
        <v>78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35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61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 x14ac:dyDescent="0.25">
      <c r="A27" s="3" t="s">
        <v>79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28</v>
      </c>
      <c r="I27" t="s">
        <v>36</v>
      </c>
      <c r="J27" t="s">
        <v>37</v>
      </c>
      <c r="K27" t="s">
        <v>25</v>
      </c>
      <c r="L27" t="s">
        <v>26</v>
      </c>
      <c r="M27" s="5" t="s">
        <v>61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25">
      <c r="A28" s="3" t="s">
        <v>80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35</v>
      </c>
      <c r="H28" t="s">
        <v>28</v>
      </c>
      <c r="I28" t="s">
        <v>29</v>
      </c>
      <c r="J28" t="s">
        <v>30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 x14ac:dyDescent="0.25">
      <c r="A29" s="3" t="s">
        <v>81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35</v>
      </c>
      <c r="H29" t="s">
        <v>28</v>
      </c>
      <c r="I29" t="s">
        <v>23</v>
      </c>
      <c r="J29" t="s">
        <v>24</v>
      </c>
      <c r="K29" t="s">
        <v>25</v>
      </c>
      <c r="L29" t="s">
        <v>26</v>
      </c>
      <c r="M29" s="5" t="s">
        <v>82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 x14ac:dyDescent="0.25">
      <c r="A30" s="3" t="s">
        <v>83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35</v>
      </c>
      <c r="H30" t="s">
        <v>22</v>
      </c>
      <c r="I30" t="s">
        <v>23</v>
      </c>
      <c r="J30" t="s">
        <v>46</v>
      </c>
      <c r="K30" t="s">
        <v>25</v>
      </c>
      <c r="L30" t="s">
        <v>26</v>
      </c>
      <c r="M30" s="5" t="s">
        <v>84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 x14ac:dyDescent="0.25">
      <c r="A31" s="3" t="s">
        <v>85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28</v>
      </c>
      <c r="I31" t="s">
        <v>36</v>
      </c>
      <c r="J31" t="s">
        <v>37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 x14ac:dyDescent="0.25">
      <c r="A32" s="3" t="s">
        <v>86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87</v>
      </c>
      <c r="J32" t="s">
        <v>88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 x14ac:dyDescent="0.25">
      <c r="A33" s="3" t="s">
        <v>89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36</v>
      </c>
      <c r="J33" t="s">
        <v>37</v>
      </c>
      <c r="K33" t="s">
        <v>25</v>
      </c>
      <c r="L33" t="s">
        <v>26</v>
      </c>
      <c r="M33" s="5" t="s">
        <v>64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 x14ac:dyDescent="0.25">
      <c r="A34" s="3" t="s">
        <v>90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35</v>
      </c>
      <c r="H34" t="s">
        <v>28</v>
      </c>
      <c r="I34" t="s">
        <v>58</v>
      </c>
      <c r="J34" t="s">
        <v>59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 x14ac:dyDescent="0.25">
      <c r="A35" s="3" t="s">
        <v>91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28</v>
      </c>
      <c r="I35" t="s">
        <v>23</v>
      </c>
      <c r="J35" t="s">
        <v>24</v>
      </c>
      <c r="K35" t="s">
        <v>25</v>
      </c>
      <c r="L35" t="s">
        <v>26</v>
      </c>
      <c r="M35" s="5" t="s">
        <v>33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 x14ac:dyDescent="0.25">
      <c r="A36" s="3" t="s">
        <v>92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54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 x14ac:dyDescent="0.25">
      <c r="A37" s="3" t="s">
        <v>93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36</v>
      </c>
      <c r="J37" t="s">
        <v>37</v>
      </c>
      <c r="K37" t="s">
        <v>25</v>
      </c>
      <c r="L37" t="s">
        <v>26</v>
      </c>
      <c r="M37" s="5" t="s">
        <v>31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 x14ac:dyDescent="0.25">
      <c r="A38" s="3" t="s">
        <v>94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28</v>
      </c>
      <c r="I38" t="s">
        <v>23</v>
      </c>
      <c r="J38" t="s">
        <v>24</v>
      </c>
      <c r="K38" t="s">
        <v>25</v>
      </c>
      <c r="L38" t="s">
        <v>26</v>
      </c>
      <c r="M38" s="5" t="s">
        <v>33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 x14ac:dyDescent="0.25">
      <c r="A39" s="3" t="s">
        <v>95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35</v>
      </c>
      <c r="H39" t="s">
        <v>28</v>
      </c>
      <c r="I39" t="s">
        <v>36</v>
      </c>
      <c r="J39" t="s">
        <v>37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 x14ac:dyDescent="0.25">
      <c r="A40" s="3" t="s">
        <v>96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36</v>
      </c>
      <c r="J40" t="s">
        <v>74</v>
      </c>
      <c r="K40" t="s">
        <v>25</v>
      </c>
      <c r="L40" t="s">
        <v>26</v>
      </c>
      <c r="M40" s="5" t="s">
        <v>31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 x14ac:dyDescent="0.25">
      <c r="A41" s="3" t="s">
        <v>97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46</v>
      </c>
      <c r="K41" t="s">
        <v>25</v>
      </c>
      <c r="L41" t="s">
        <v>26</v>
      </c>
      <c r="M41" s="5" t="s">
        <v>31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25">
      <c r="A42" s="3" t="s">
        <v>98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35</v>
      </c>
      <c r="H42" t="s">
        <v>22</v>
      </c>
      <c r="I42" t="s">
        <v>36</v>
      </c>
      <c r="J42" t="s">
        <v>53</v>
      </c>
      <c r="K42" t="s">
        <v>25</v>
      </c>
      <c r="L42" t="s">
        <v>26</v>
      </c>
      <c r="M42" s="5" t="s">
        <v>31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 x14ac:dyDescent="0.25">
      <c r="A43" s="3" t="s">
        <v>99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100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 x14ac:dyDescent="0.25">
      <c r="A44" s="3" t="s">
        <v>101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29</v>
      </c>
      <c r="J44" t="s">
        <v>30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 x14ac:dyDescent="0.25">
      <c r="A45" s="3" t="s">
        <v>102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28</v>
      </c>
      <c r="I45" t="s">
        <v>29</v>
      </c>
      <c r="J45" t="s">
        <v>30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25">
      <c r="A46" s="3" t="s">
        <v>103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35</v>
      </c>
      <c r="H46" t="s">
        <v>22</v>
      </c>
      <c r="I46" t="s">
        <v>23</v>
      </c>
      <c r="J46" t="s">
        <v>46</v>
      </c>
      <c r="K46" t="s">
        <v>25</v>
      </c>
      <c r="L46" t="s">
        <v>26</v>
      </c>
      <c r="M46" s="5" t="s">
        <v>54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 x14ac:dyDescent="0.25">
      <c r="A47" s="3" t="s">
        <v>104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35</v>
      </c>
      <c r="H47" t="s">
        <v>28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 x14ac:dyDescent="0.25">
      <c r="A48" s="3" t="s">
        <v>105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35</v>
      </c>
      <c r="H48" t="s">
        <v>22</v>
      </c>
      <c r="I48" t="s">
        <v>36</v>
      </c>
      <c r="J48" t="s">
        <v>74</v>
      </c>
      <c r="K48" t="s">
        <v>25</v>
      </c>
      <c r="L48" t="s">
        <v>26</v>
      </c>
      <c r="M48" s="5" t="s">
        <v>33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 x14ac:dyDescent="0.25">
      <c r="A49" s="3" t="s">
        <v>106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35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31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 x14ac:dyDescent="0.25">
      <c r="A50" s="3" t="s">
        <v>107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35</v>
      </c>
      <c r="H50" t="s">
        <v>22</v>
      </c>
      <c r="I50" t="s">
        <v>36</v>
      </c>
      <c r="J50" t="s">
        <v>37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 x14ac:dyDescent="0.25">
      <c r="A51" s="3" t="s">
        <v>108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28</v>
      </c>
      <c r="I51" t="s">
        <v>36</v>
      </c>
      <c r="J51" t="s">
        <v>37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25">
      <c r="A52" s="3" t="s">
        <v>109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35</v>
      </c>
      <c r="H52" t="s">
        <v>22</v>
      </c>
      <c r="I52" t="s">
        <v>87</v>
      </c>
      <c r="J52" t="s">
        <v>110</v>
      </c>
      <c r="K52" t="s">
        <v>25</v>
      </c>
      <c r="L52" t="s">
        <v>26</v>
      </c>
      <c r="M52" s="5" t="s">
        <v>111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 x14ac:dyDescent="0.25">
      <c r="A53" s="3" t="s">
        <v>112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46</v>
      </c>
      <c r="K53" t="s">
        <v>25</v>
      </c>
      <c r="L53" t="s">
        <v>26</v>
      </c>
      <c r="M53" s="5" t="s">
        <v>54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 x14ac:dyDescent="0.25">
      <c r="A54" s="3" t="s">
        <v>113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35</v>
      </c>
      <c r="H54" t="s">
        <v>28</v>
      </c>
      <c r="I54" t="s">
        <v>36</v>
      </c>
      <c r="J54" t="s">
        <v>37</v>
      </c>
      <c r="K54" t="s">
        <v>25</v>
      </c>
      <c r="L54" t="s">
        <v>26</v>
      </c>
      <c r="M54" s="5" t="s">
        <v>38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 x14ac:dyDescent="0.25">
      <c r="A55" s="3" t="s">
        <v>114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50</v>
      </c>
      <c r="J55" t="s">
        <v>51</v>
      </c>
      <c r="K55" t="s">
        <v>25</v>
      </c>
      <c r="L55" t="s">
        <v>26</v>
      </c>
      <c r="M55" s="5" t="s">
        <v>111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 x14ac:dyDescent="0.25">
      <c r="A56" s="3" t="s">
        <v>115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36</v>
      </c>
      <c r="J56" t="s">
        <v>37</v>
      </c>
      <c r="K56" t="s">
        <v>25</v>
      </c>
      <c r="L56" t="s">
        <v>26</v>
      </c>
      <c r="M56" s="5" t="s">
        <v>67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 x14ac:dyDescent="0.25">
      <c r="A57" s="3" t="s">
        <v>116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50</v>
      </c>
      <c r="J57" t="s">
        <v>51</v>
      </c>
      <c r="K57" t="s">
        <v>25</v>
      </c>
      <c r="L57" t="s">
        <v>26</v>
      </c>
      <c r="M57" s="5" t="s">
        <v>111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 x14ac:dyDescent="0.25">
      <c r="A58" s="3" t="s">
        <v>117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87</v>
      </c>
      <c r="J58" t="s">
        <v>118</v>
      </c>
      <c r="K58" t="s">
        <v>25</v>
      </c>
      <c r="L58" t="s">
        <v>26</v>
      </c>
      <c r="M58" s="5" t="s">
        <v>54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 x14ac:dyDescent="0.25">
      <c r="A59" s="3" t="s">
        <v>119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35</v>
      </c>
      <c r="H59" t="s">
        <v>22</v>
      </c>
      <c r="I59" t="s">
        <v>29</v>
      </c>
      <c r="J59" t="s">
        <v>30</v>
      </c>
      <c r="K59" t="s">
        <v>25</v>
      </c>
      <c r="L59" t="s">
        <v>26</v>
      </c>
      <c r="M59" s="5" t="s">
        <v>38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 x14ac:dyDescent="0.25">
      <c r="A60" s="3" t="s">
        <v>120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28</v>
      </c>
      <c r="I60" t="s">
        <v>23</v>
      </c>
      <c r="J60" t="s">
        <v>24</v>
      </c>
      <c r="K60" t="s">
        <v>25</v>
      </c>
      <c r="L60" t="s">
        <v>26</v>
      </c>
      <c r="M60" s="5" t="s">
        <v>61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 x14ac:dyDescent="0.25">
      <c r="A61" s="3" t="s">
        <v>121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35</v>
      </c>
      <c r="H61" t="s">
        <v>28</v>
      </c>
      <c r="I61" t="s">
        <v>87</v>
      </c>
      <c r="J61" t="s">
        <v>88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 x14ac:dyDescent="0.25">
      <c r="A62" s="3" t="s">
        <v>122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28</v>
      </c>
      <c r="I62" t="s">
        <v>23</v>
      </c>
      <c r="J62" t="s">
        <v>46</v>
      </c>
      <c r="K62" t="s">
        <v>25</v>
      </c>
      <c r="L62" t="s">
        <v>26</v>
      </c>
      <c r="M62" s="5" t="s">
        <v>54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 x14ac:dyDescent="0.25">
      <c r="A63" s="3" t="s">
        <v>123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28</v>
      </c>
      <c r="I63" t="s">
        <v>87</v>
      </c>
      <c r="J63" t="s">
        <v>124</v>
      </c>
      <c r="K63" t="s">
        <v>25</v>
      </c>
      <c r="L63" t="s">
        <v>26</v>
      </c>
      <c r="M63" s="5" t="s">
        <v>111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 x14ac:dyDescent="0.25">
      <c r="A64" s="3" t="s">
        <v>125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36</v>
      </c>
      <c r="J64" t="s">
        <v>74</v>
      </c>
      <c r="K64" t="s">
        <v>25</v>
      </c>
      <c r="L64" t="s">
        <v>26</v>
      </c>
      <c r="M64" s="5" t="s">
        <v>126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 x14ac:dyDescent="0.25">
      <c r="A65" s="3" t="s">
        <v>127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35</v>
      </c>
      <c r="H65" t="s">
        <v>28</v>
      </c>
      <c r="I65" t="s">
        <v>87</v>
      </c>
      <c r="J65" t="s">
        <v>88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 x14ac:dyDescent="0.25">
      <c r="A66" s="3" t="s">
        <v>128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70</v>
      </c>
      <c r="K66" t="s">
        <v>25</v>
      </c>
      <c r="L66" t="s">
        <v>26</v>
      </c>
      <c r="M66" s="5" t="s">
        <v>129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 x14ac:dyDescent="0.25">
      <c r="A67" s="3" t="s">
        <v>130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28</v>
      </c>
      <c r="I67" t="s">
        <v>23</v>
      </c>
      <c r="J67" t="s">
        <v>70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 x14ac:dyDescent="0.25">
      <c r="A68" s="3" t="s">
        <v>131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 x14ac:dyDescent="0.25">
      <c r="A69" s="3" t="s">
        <v>132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36</v>
      </c>
      <c r="J69" t="s">
        <v>53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 x14ac:dyDescent="0.25">
      <c r="A70" s="3" t="s">
        <v>133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28</v>
      </c>
      <c r="I70" t="s">
        <v>36</v>
      </c>
      <c r="J70" t="s">
        <v>134</v>
      </c>
      <c r="K70" t="s">
        <v>25</v>
      </c>
      <c r="L70" t="s">
        <v>26</v>
      </c>
      <c r="M70" s="5" t="s">
        <v>82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 x14ac:dyDescent="0.25">
      <c r="A71" s="3" t="s">
        <v>135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50</v>
      </c>
      <c r="J71" t="s">
        <v>136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 x14ac:dyDescent="0.25">
      <c r="A72" s="3" t="s">
        <v>137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46</v>
      </c>
      <c r="K72" t="s">
        <v>25</v>
      </c>
      <c r="L72" t="s">
        <v>26</v>
      </c>
      <c r="M72" s="5" t="s">
        <v>54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 x14ac:dyDescent="0.25">
      <c r="A73" s="3" t="s">
        <v>138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35</v>
      </c>
      <c r="H73" t="s">
        <v>22</v>
      </c>
      <c r="I73" t="s">
        <v>36</v>
      </c>
      <c r="J73" t="s">
        <v>74</v>
      </c>
      <c r="K73" t="s">
        <v>25</v>
      </c>
      <c r="L73" t="s">
        <v>26</v>
      </c>
      <c r="M73" s="5" t="s">
        <v>75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 x14ac:dyDescent="0.25">
      <c r="A74" s="3" t="s">
        <v>139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28</v>
      </c>
      <c r="I74" t="s">
        <v>36</v>
      </c>
      <c r="J74" t="s">
        <v>53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 x14ac:dyDescent="0.25">
      <c r="A75" s="3" t="s">
        <v>140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35</v>
      </c>
      <c r="H75" t="s">
        <v>28</v>
      </c>
      <c r="I75" t="s">
        <v>58</v>
      </c>
      <c r="J75" t="s">
        <v>59</v>
      </c>
      <c r="K75" t="s">
        <v>25</v>
      </c>
      <c r="L75" t="s">
        <v>26</v>
      </c>
      <c r="M75" s="5" t="s">
        <v>141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 x14ac:dyDescent="0.25">
      <c r="A76" s="3" t="s">
        <v>142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36</v>
      </c>
      <c r="J76" t="s">
        <v>53</v>
      </c>
      <c r="K76" t="s">
        <v>25</v>
      </c>
      <c r="L76" t="s">
        <v>26</v>
      </c>
      <c r="M76" s="5" t="s">
        <v>54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 x14ac:dyDescent="0.25">
      <c r="A77" s="3" t="s">
        <v>143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28</v>
      </c>
      <c r="I77" t="s">
        <v>36</v>
      </c>
      <c r="J77" t="s">
        <v>74</v>
      </c>
      <c r="K77" t="s">
        <v>25</v>
      </c>
      <c r="L77" t="s">
        <v>26</v>
      </c>
      <c r="M77" s="5" t="s">
        <v>54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 x14ac:dyDescent="0.25">
      <c r="A78" s="3" t="s">
        <v>144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35</v>
      </c>
      <c r="H78" t="s">
        <v>28</v>
      </c>
      <c r="I78" t="s">
        <v>87</v>
      </c>
      <c r="J78" t="s">
        <v>145</v>
      </c>
      <c r="K78" t="s">
        <v>25</v>
      </c>
      <c r="L78" t="s">
        <v>26</v>
      </c>
      <c r="M78" s="5" t="s">
        <v>54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 x14ac:dyDescent="0.25">
      <c r="A79" s="3" t="s">
        <v>146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28</v>
      </c>
      <c r="I79" t="s">
        <v>29</v>
      </c>
      <c r="J79" t="s">
        <v>30</v>
      </c>
      <c r="K79" t="s">
        <v>25</v>
      </c>
      <c r="L79" t="s">
        <v>26</v>
      </c>
      <c r="M79" s="5" t="s">
        <v>33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 x14ac:dyDescent="0.25">
      <c r="A80" s="3" t="s">
        <v>147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35</v>
      </c>
      <c r="H80" t="s">
        <v>22</v>
      </c>
      <c r="I80" t="s">
        <v>23</v>
      </c>
      <c r="J80" t="s">
        <v>46</v>
      </c>
      <c r="K80" t="s">
        <v>25</v>
      </c>
      <c r="L80" t="s">
        <v>26</v>
      </c>
      <c r="M80" s="5" t="s">
        <v>54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 x14ac:dyDescent="0.25">
      <c r="A81" s="3" t="s">
        <v>148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28</v>
      </c>
      <c r="I81" t="s">
        <v>23</v>
      </c>
      <c r="J81" t="s">
        <v>24</v>
      </c>
      <c r="K81" t="s">
        <v>25</v>
      </c>
      <c r="L81" t="s">
        <v>26</v>
      </c>
      <c r="M81" s="5" t="s">
        <v>61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 x14ac:dyDescent="0.25">
      <c r="A82" s="3" t="s">
        <v>149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36</v>
      </c>
      <c r="J82" t="s">
        <v>37</v>
      </c>
      <c r="K82" t="s">
        <v>25</v>
      </c>
      <c r="L82" t="s">
        <v>26</v>
      </c>
      <c r="M82" s="5" t="s">
        <v>67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 x14ac:dyDescent="0.25">
      <c r="A83" s="3" t="s">
        <v>150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35</v>
      </c>
      <c r="H83" t="s">
        <v>28</v>
      </c>
      <c r="I83" t="s">
        <v>87</v>
      </c>
      <c r="J83" t="s">
        <v>88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 x14ac:dyDescent="0.25">
      <c r="A84" s="3" t="s">
        <v>151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35</v>
      </c>
      <c r="H84" t="s">
        <v>22</v>
      </c>
      <c r="I84" t="s">
        <v>58</v>
      </c>
      <c r="J84" t="s">
        <v>59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 x14ac:dyDescent="0.25">
      <c r="A85" s="3" t="s">
        <v>152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28</v>
      </c>
      <c r="I85" t="s">
        <v>50</v>
      </c>
      <c r="J85" t="s">
        <v>136</v>
      </c>
      <c r="K85" t="s">
        <v>25</v>
      </c>
      <c r="L85" t="s">
        <v>26</v>
      </c>
      <c r="M85" s="5" t="s">
        <v>54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 x14ac:dyDescent="0.25">
      <c r="A86" s="3" t="s">
        <v>153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35</v>
      </c>
      <c r="H86" t="s">
        <v>22</v>
      </c>
      <c r="I86" t="s">
        <v>23</v>
      </c>
      <c r="J86" t="s">
        <v>70</v>
      </c>
      <c r="K86" t="s">
        <v>25</v>
      </c>
      <c r="L86" t="s">
        <v>26</v>
      </c>
      <c r="M86" s="5" t="s">
        <v>31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 x14ac:dyDescent="0.25">
      <c r="A87" s="3" t="s">
        <v>154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35</v>
      </c>
      <c r="H87" t="s">
        <v>22</v>
      </c>
      <c r="I87" t="s">
        <v>58</v>
      </c>
      <c r="J87" t="s">
        <v>59</v>
      </c>
      <c r="K87" t="s">
        <v>25</v>
      </c>
      <c r="L87" t="s">
        <v>26</v>
      </c>
      <c r="M87" s="5" t="s">
        <v>61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 x14ac:dyDescent="0.25">
      <c r="A88" s="3" t="s">
        <v>155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72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 x14ac:dyDescent="0.25">
      <c r="A89" s="3" t="s">
        <v>156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28</v>
      </c>
      <c r="I89" t="s">
        <v>36</v>
      </c>
      <c r="J89" t="s">
        <v>53</v>
      </c>
      <c r="K89" t="s">
        <v>25</v>
      </c>
      <c r="L89" t="s">
        <v>26</v>
      </c>
      <c r="M89" s="5" t="s">
        <v>61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Props1.xml><?xml version="1.0" encoding="utf-8"?>
<ds:datastoreItem xmlns:ds="http://schemas.openxmlformats.org/officeDocument/2006/customXml" ds:itemID="{6294796C-5BA7-4D41-83ED-B2ACAD8AF7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9A0981A-8B6B-4170-BCF8-2DB63DFF61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55A197-E6BA-450D-B171-3C9117E06810}">
  <ds:schemaRefs>
    <ds:schemaRef ds:uri="ef7ae401-bd17-41a5-97cb-ef653218410e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6cf0ffbd-cd96-4ba4-bd4f-bd34e8409846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Pivot_Table</vt:lpstr>
      <vt:lpstr>Challenge_Activity</vt:lpstr>
      <vt:lpstr>Bike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PC 33 Comlab 1</cp:lastModifiedBy>
  <cp:revision/>
  <dcterms:created xsi:type="dcterms:W3CDTF">2022-11-04T20:14:11Z</dcterms:created>
  <dcterms:modified xsi:type="dcterms:W3CDTF">2026-03-13T02:46:45Z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