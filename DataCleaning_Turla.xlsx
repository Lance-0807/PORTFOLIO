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16335" windowHeight="7590"/>
  </bookViews>
  <sheets>
    <sheet name="Revenue_Fact" sheetId="11" r:id="rId1"/>
    <sheet name="Client_dim" sheetId="2" r:id="rId2"/>
    <sheet name="Department_dim" sheetId="7" r:id="rId3"/>
    <sheet name="State_dim" sheetId="5" r:id="rId4"/>
    <sheet name="Payment_dim" sheetId="6" r:id="rId5"/>
    <sheet name=" RevenueVLOOOKUP" sheetId="9" r:id="rId6"/>
    <sheet name="Data Cleaning " sheetId="8" r:id="rId7"/>
  </sheets>
  <definedNames>
    <definedName name="_xlcn.WorksheetConnection_DataCleaning_Turla.xlsxClient_dim" hidden="1">Client_dim[]</definedName>
    <definedName name="_xlcn.WorksheetConnection_DataCleaning_Turla.xlsxdepartment_dim" hidden="1">department_dim[]</definedName>
    <definedName name="_xlcn.WorksheetConnection_DataCleaning_Turla.xlsxPayment_dim" hidden="1">Payment_dim[]</definedName>
    <definedName name="_xlcn.WorksheetConnection_DataCleaning_Turla.xlsxRevenue_Fact" hidden="1">Revenue_Fact[]</definedName>
    <definedName name="_xlcn.WorksheetConnection_DataCleaning_Turla.xlsxState_dim" hidden="1">State_dim[]</definedName>
    <definedName name="Clients">Client_dim!$B$1:$C$29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_dim" name="Client_dim" connection="WorksheetConnection_DataCleaning_Turla.xlsx!Client_dim"/>
          <x15:modelTable id="Revenue_Fact" name="Revenue_Fact" connection="WorksheetConnection_DataCleaning_Turla.xlsx!Revenue_Fact"/>
          <x15:modelTable id="department_dim" name="department_dim" connection="WorksheetConnection_DataCleaning_Turla.xlsx!department_dim"/>
          <x15:modelTable id="Payment_dim" name="Payment_dim" connection="WorksheetConnection_DataCleaning_Turla.xlsx!Payment_dim"/>
          <x15:modelTable id="State_dim" name="State_dim" connection="WorksheetConnection_DataCleaning_Turla.xlsx!State_dim"/>
        </x15:modelTables>
        <x15:modelRelationships>
          <x15:modelRelationship fromTable="Revenue_Fact" fromColumn="Client_ID" toTable="Client_dim" toColumn="Client_ID"/>
          <x15:modelRelationship fromTable="Revenue_Fact" fromColumn="Departmnet_ID" toTable="department_dim" toColumn="Department_ID"/>
          <x15:modelRelationship fromTable="Revenue_Fact" fromColumn="Payment_ID" toTable="Payment_dim" toColumn="Payment_ID"/>
          <x15:modelRelationship fromTable="Revenue_Fact" fromColumn="State_ID" toTable="State_dim" toColumn="St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1" l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G15" i="11"/>
  <c r="G14" i="11"/>
  <c r="G9" i="11"/>
  <c r="G5" i="11"/>
  <c r="E26" i="9" l="1"/>
  <c r="E24" i="9"/>
  <c r="E23" i="9"/>
  <c r="E22" i="9"/>
  <c r="E19" i="9"/>
  <c r="E18" i="9"/>
  <c r="E17" i="9"/>
  <c r="E16" i="9"/>
  <c r="E15" i="9"/>
  <c r="E5" i="9"/>
  <c r="E4" i="9"/>
  <c r="E30" i="9"/>
  <c r="E29" i="9"/>
  <c r="E28" i="9"/>
  <c r="E27" i="9"/>
  <c r="E14" i="9"/>
  <c r="E13" i="9"/>
  <c r="E12" i="9"/>
  <c r="E11" i="9"/>
  <c r="E10" i="9"/>
  <c r="E9" i="9"/>
  <c r="E7" i="9"/>
  <c r="E6" i="9"/>
  <c r="E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" i="9"/>
  <c r="E8" i="9"/>
  <c r="E20" i="9"/>
  <c r="E21" i="9"/>
  <c r="E25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K16" i="9"/>
  <c r="M16" i="9" s="1"/>
  <c r="K15" i="9"/>
  <c r="M15" i="9" s="1"/>
  <c r="M14" i="9"/>
  <c r="M13" i="9"/>
  <c r="M12" i="9"/>
  <c r="M11" i="9"/>
  <c r="K10" i="9"/>
  <c r="M10" i="9" s="1"/>
  <c r="M9" i="9"/>
  <c r="M8" i="9"/>
  <c r="M7" i="9"/>
  <c r="K6" i="9"/>
  <c r="M6" i="9" s="1"/>
  <c r="M5" i="9"/>
  <c r="M4" i="9"/>
  <c r="M3" i="9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H16" i="8"/>
  <c r="J16" i="8" s="1"/>
  <c r="H15" i="8"/>
  <c r="J15" i="8" s="1"/>
  <c r="J14" i="8"/>
  <c r="J13" i="8"/>
  <c r="J12" i="8"/>
  <c r="J11" i="8"/>
  <c r="H10" i="8"/>
  <c r="J10" i="8" s="1"/>
  <c r="J9" i="8"/>
  <c r="J8" i="8"/>
  <c r="J7" i="8"/>
  <c r="H6" i="8"/>
  <c r="J6" i="8" s="1"/>
  <c r="J5" i="8"/>
  <c r="J4" i="8"/>
  <c r="J3" i="8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taCleaning_Turla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DataCleaning_Turla.xlsxClient_dim"/>
        </x15:connection>
      </ext>
    </extLst>
  </connection>
  <connection id="3" name="WorksheetConnection_DataCleaning_Turla.xlsx!department_dim" type="102" refreshedVersion="6" minRefreshableVersion="5">
    <extLst>
      <ext xmlns:x15="http://schemas.microsoft.com/office/spreadsheetml/2010/11/main" uri="{DE250136-89BD-433C-8126-D09CA5730AF9}">
        <x15:connection id="department_dim">
          <x15:rangePr sourceName="_xlcn.WorksheetConnection_DataCleaning_Turla.xlsxdepartment_dim"/>
        </x15:connection>
      </ext>
    </extLst>
  </connection>
  <connection id="4" name="WorksheetConnection_DataCleaning_Turla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DataCleaning_Turla.xlsxPayment_dim"/>
        </x15:connection>
      </ext>
    </extLst>
  </connection>
  <connection id="5" name="WorksheetConnection_DataCleaning_Turla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DataCleaning_Turla.xlsxRevenue_Fact"/>
        </x15:connection>
      </ext>
    </extLst>
  </connection>
  <connection id="6" name="WorksheetConnection_DataCleaning_Turla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DataCleaning_Turla.xlsxState_dim"/>
        </x15:connection>
      </ext>
    </extLst>
  </connection>
</connections>
</file>

<file path=xl/sharedStrings.xml><?xml version="1.0" encoding="utf-8"?>
<sst xmlns="http://schemas.openxmlformats.org/spreadsheetml/2006/main" count="635" uniqueCount="158">
  <si>
    <t>Date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</si>
  <si>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</si>
  <si>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</si>
  <si>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</si>
  <si>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</si>
  <si>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</si>
  <si>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</si>
  <si>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</si>
  <si>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</si>
  <si>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</si>
  <si>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</si>
  <si>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</si>
  <si>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</si>
  <si>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</si>
  <si>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</si>
  <si>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</si>
  <si>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</si>
  <si>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</si>
  <si>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</si>
  <si>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</si>
  <si>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</si>
  <si>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</si>
  <si>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</si>
  <si>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</si>
  <si>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</si>
  <si>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</si>
  <si>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</si>
  <si>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</si>
  <si>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</si>
  <si>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</si>
  <si>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</si>
  <si>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</si>
  <si>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</si>
  <si>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</si>
  <si>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</si>
  <si>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</si>
  <si>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</si>
  <si>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</si>
  <si>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</si>
  <si>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</si>
  <si>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</si>
  <si>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</si>
  <si>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</si>
  <si>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</si>
  <si>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Contacts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</si>
  <si>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</si>
  <si>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</si>
  <si>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</si>
  <si>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</si>
  <si>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</si>
  <si>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</si>
  <si>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</si>
  <si>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</si>
  <si>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</si>
  <si>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</si>
  <si>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</si>
  <si>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</si>
  <si>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</si>
  <si>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</si>
  <si>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</si>
  <si>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</si>
  <si>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</si>
  <si>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</si>
  <si>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</si>
  <si>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</si>
  <si>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</si>
  <si>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</si>
  <si>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</si>
  <si>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State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</si>
  <si>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</si>
  <si>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</si>
  <si>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</si>
  <si>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</si>
  <si>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</si>
  <si>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</si>
  <si>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</si>
  <si>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</si>
  <si>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Others</t>
  </si>
  <si>
    <t>CS101</t>
  </si>
  <si>
    <t>Client_ID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</si>
  <si>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</si>
  <si>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</si>
  <si>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</si>
  <si>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</si>
  <si>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</si>
  <si>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</si>
  <si>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</si>
  <si>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</si>
  <si>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</si>
  <si>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</si>
  <si>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</si>
  <si>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</si>
  <si>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</si>
  <si>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</si>
  <si>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</si>
  <si>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</si>
  <si>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</si>
  <si>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</si>
  <si>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</si>
  <si>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</si>
  <si>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</si>
  <si>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</si>
  <si>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</si>
  <si>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</si>
  <si>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</si>
  <si>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</si>
  <si>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</si>
  <si>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</si>
  <si>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State_ID</t>
  </si>
  <si>
    <t>Payment_ID</t>
  </si>
  <si>
    <t>D-101</t>
  </si>
  <si>
    <t>D-102</t>
  </si>
  <si>
    <t>D-103</t>
  </si>
  <si>
    <t>D-104</t>
  </si>
  <si>
    <t>P-101</t>
  </si>
  <si>
    <t>P-102</t>
  </si>
  <si>
    <t>P-103</t>
  </si>
  <si>
    <t>P-104</t>
  </si>
  <si>
    <t>P-105</t>
  </si>
  <si>
    <t>S-101</t>
  </si>
  <si>
    <t>S-102</t>
  </si>
  <si>
    <t>S-103</t>
  </si>
  <si>
    <t>S-104</t>
  </si>
  <si>
    <t>TRANS_ID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</si>
  <si>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</si>
  <si>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</si>
  <si>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</si>
  <si>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</si>
  <si>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</si>
  <si>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</si>
  <si>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</si>
  <si>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</si>
  <si>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</si>
  <si>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</si>
  <si>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</si>
  <si>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</si>
  <si>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</si>
  <si>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</si>
  <si>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</si>
  <si>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</si>
  <si>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</si>
  <si>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</si>
  <si>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</si>
  <si>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</si>
  <si>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</si>
  <si>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</si>
  <si>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</si>
  <si>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</si>
  <si>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</si>
  <si>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</si>
  <si>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</si>
  <si>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</si>
  <si>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>Department_ID</t>
  </si>
  <si>
    <t>Trans_ID</t>
  </si>
  <si>
    <t>Departmnet_ID</t>
  </si>
  <si>
    <t>Client2</t>
  </si>
  <si>
    <t>T-129</t>
  </si>
  <si>
    <t>D-105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</si>
</sst>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[$$-409]#,##0.00;[Red][$$-409]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/>
    </xf>
    <xf numFmtId="49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left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alignment horizontal="center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numFmt numFmtId="165" formatCode="[$$-409]#,##0.00;[Red][$$-409]#,##0.00"/>
      <alignment horizontal="center" vertical="bottom" textRotation="0" wrapText="0" indent="0" justifyLastLine="0" shrinkToFit="0" readingOrder="0"/>
    </dxf>
    <dxf>
      <numFmt numFmtId="165" formatCode="[$$-409]#,##0.00;[Red][$$-409]#,##0.00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tables/table1.xml><?xml version="1.0" encoding="utf-8"?>
<table xmlns="http://schemas.openxmlformats.org/spreadsheetml/2006/main" id="4" name="Revenue_Fact" displayName="Revenue_Fact" ref="A1:I30" totalsRowShown="0" headerRowDxfId="11">
  <autoFilter ref="A1:I30"/>
  <tableColumns count="9">
    <tableColumn id="1" name="TRANS_ID"/>
    <tableColumn id="2" name="Date" dataDxfId="18"/>
    <tableColumn id="3" name="Client_ID" dataDxfId="17"/>
    <tableColumn id="4" name="Departmnet_ID" dataDxfId="16"/>
    <tableColumn id="5" name="State_ID" dataDxfId="15"/>
    <tableColumn id="6" name="Payment_ID" dataDxfId="14"/>
    <tableColumn id="7" name="Revenue" dataDxfId="13"/>
    <tableColumn id="8" name="Profit" dataDxfId="12"/>
    <tableColumn id="9" name="Profit Margin" dataDxfId="3" dataCellStyle="Percent">
      <calculatedColumnFormula>IFERROR(H2/B8,0)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0" name="Client_dim" displayName="Client_dim" ref="A1:D29" totalsRowShown="0" headerRowDxfId="5">
  <autoFilter ref="A1:D29"/>
  <tableColumns count="4">
    <tableColumn id="1" name="Client" dataDxfId="8"/>
    <tableColumn id="2" name="Client_ID" dataDxfId="7"/>
    <tableColumn id="3" name="Client2" dataDxfId="6"/>
    <tableColumn id="4" name="Contac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9" name="department_dim" displayName="department_dim" ref="A1:B5" totalsRowShown="0" headerRowDxfId="9">
  <autoFilter ref="A1:B5"/>
  <tableColumns count="2">
    <tableColumn id="1" name="Department"/>
    <tableColumn id="2" name="Department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8" name="State_dim" displayName="State_dim" ref="A1:B5" totalsRowShown="0" headerRowDxfId="10">
  <autoFilter ref="A1:B5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1" name="Payment_dim" displayName="Payment_dim" ref="A1:B6" totalsRowShown="0" headerRowDxfId="4">
  <autoFilter ref="A1:B6"/>
  <tableColumns count="2">
    <tableColumn id="1" name="Payment"/>
    <tableColumn id="2" name="Paymen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zoomScale="85" zoomScaleNormal="85" workbookViewId="0">
      <selection activeCell="M9" sqref="M9"/>
    </sheetView>
  </sheetViews>
  <sheetFormatPr defaultColWidth="11" defaultRowHeight="15.75" x14ac:dyDescent="0.25"/>
  <cols>
    <col min="1" max="1" width="13.625" customWidth="1"/>
    <col min="2" max="2" width="11.125" bestFit="1" customWidth="1"/>
    <col min="3" max="3" width="11.125" customWidth="1"/>
    <col min="4" max="6" width="21" customWidth="1"/>
    <col min="7" max="7" width="11.625" customWidth="1"/>
    <col min="8" max="8" width="9.625" customWidth="1"/>
    <col min="9" max="9" width="16" customWidth="1"/>
  </cols>
  <sheetData>
    <row r="1" spans="1:9" x14ac:dyDescent="0.25">
      <c r="A1" s="3" t="s">
        <v>123</v>
      </c>
      <c r="B1" s="3" t="s">
        <v>0</v>
      </c>
      <c r="C1" s="3" t="s">
        <v>79</v>
      </c>
      <c r="D1" s="3" t="s">
        <v>154</v>
      </c>
      <c r="E1" s="3" t="s">
        <v>108</v>
      </c>
      <c r="F1" s="3" t="s">
        <v>109</v>
      </c>
      <c r="G1" s="3" t="s">
        <v>1</v>
      </c>
      <c r="H1" s="3" t="s">
        <v>2</v>
      </c>
      <c r="I1" s="3" t="s">
        <v>3</v>
      </c>
    </row>
    <row r="2" spans="1:9" x14ac:dyDescent="0.25">
      <c r="A2" t="s">
        <v>124</v>
      </c>
      <c r="B2" s="2">
        <v>45076</v>
      </c>
      <c r="C2" s="2" t="s">
        <v>80</v>
      </c>
      <c r="D2" s="2" t="s">
        <v>111</v>
      </c>
      <c r="E2" s="2" t="s">
        <v>122</v>
      </c>
      <c r="F2" s="2" t="s">
        <v>118</v>
      </c>
      <c r="G2" s="5">
        <v>4500</v>
      </c>
      <c r="H2" s="5">
        <v>598</v>
      </c>
      <c r="I2" s="9">
        <f t="shared" ref="I2:I23" si="0">IFERROR(H2/B8,0)</f>
        <v>1.326618896554784E-2</v>
      </c>
    </row>
    <row r="3" spans="1:9" x14ac:dyDescent="0.25">
      <c r="A3" t="s">
        <v>125</v>
      </c>
      <c r="B3" s="2">
        <v>45076</v>
      </c>
      <c r="C3" s="2" t="s">
        <v>102</v>
      </c>
      <c r="D3" s="2" t="s">
        <v>113</v>
      </c>
      <c r="E3" s="2" t="s">
        <v>121</v>
      </c>
      <c r="F3" s="2" t="s">
        <v>117</v>
      </c>
      <c r="G3" s="5">
        <v>3800</v>
      </c>
      <c r="H3" s="5">
        <v>1045</v>
      </c>
      <c r="I3" s="9">
        <f t="shared" si="0"/>
        <v>2.3182554295982431E-2</v>
      </c>
    </row>
    <row r="4" spans="1:9" x14ac:dyDescent="0.25">
      <c r="A4" t="s">
        <v>126</v>
      </c>
      <c r="B4" s="2">
        <v>45076</v>
      </c>
      <c r="C4" s="2" t="s">
        <v>100</v>
      </c>
      <c r="D4" s="2" t="s">
        <v>113</v>
      </c>
      <c r="E4" s="2" t="s">
        <v>121</v>
      </c>
      <c r="F4" s="2" t="s">
        <v>116</v>
      </c>
      <c r="G4" s="5">
        <v>3712.5</v>
      </c>
      <c r="H4" s="5">
        <v>1009</v>
      </c>
      <c r="I4" s="9">
        <f t="shared" si="0"/>
        <v>2.2383920846551456E-2</v>
      </c>
    </row>
    <row r="5" spans="1:9" x14ac:dyDescent="0.25">
      <c r="A5" t="s">
        <v>127</v>
      </c>
      <c r="B5" s="2">
        <v>45076</v>
      </c>
      <c r="C5" s="2" t="s">
        <v>105</v>
      </c>
      <c r="D5" s="2" t="s">
        <v>112</v>
      </c>
      <c r="E5" s="2" t="s">
        <v>120</v>
      </c>
      <c r="F5" s="2" t="s">
        <v>116</v>
      </c>
      <c r="G5" s="5">
        <f>4994</f>
        <v>4994</v>
      </c>
      <c r="H5" s="5">
        <v>779</v>
      </c>
      <c r="I5" s="9">
        <f t="shared" si="0"/>
        <v>1.7281540475186902E-2</v>
      </c>
    </row>
    <row r="6" spans="1:9" x14ac:dyDescent="0.25">
      <c r="A6" t="s">
        <v>128</v>
      </c>
      <c r="B6" s="2">
        <v>45076</v>
      </c>
      <c r="C6" s="2" t="s">
        <v>103</v>
      </c>
      <c r="D6" s="2" t="s">
        <v>112</v>
      </c>
      <c r="E6" s="2" t="s">
        <v>120</v>
      </c>
      <c r="F6" s="2" t="s">
        <v>115</v>
      </c>
      <c r="G6" s="5">
        <v>5000</v>
      </c>
      <c r="H6" s="5">
        <v>684</v>
      </c>
      <c r="I6" s="9">
        <f t="shared" si="0"/>
        <v>1.51740355391885E-2</v>
      </c>
    </row>
    <row r="7" spans="1:9" x14ac:dyDescent="0.25">
      <c r="A7" t="s">
        <v>129</v>
      </c>
      <c r="B7" s="2">
        <v>45077</v>
      </c>
      <c r="C7" s="2" t="s">
        <v>95</v>
      </c>
      <c r="D7" s="2" t="s">
        <v>111</v>
      </c>
      <c r="E7" s="2" t="s">
        <v>122</v>
      </c>
      <c r="F7" s="2" t="s">
        <v>118</v>
      </c>
      <c r="G7" s="5">
        <v>6100</v>
      </c>
      <c r="H7" s="5">
        <v>544</v>
      </c>
      <c r="I7" s="9">
        <f t="shared" si="0"/>
        <v>1.206823879140138E-2</v>
      </c>
    </row>
    <row r="8" spans="1:9" x14ac:dyDescent="0.25">
      <c r="A8" t="s">
        <v>130</v>
      </c>
      <c r="B8" s="2">
        <v>45077</v>
      </c>
      <c r="C8" s="2" t="s">
        <v>99</v>
      </c>
      <c r="D8" s="2" t="s">
        <v>111</v>
      </c>
      <c r="E8" s="2" t="s">
        <v>122</v>
      </c>
      <c r="F8" s="2" t="s">
        <v>118</v>
      </c>
      <c r="G8" s="5">
        <v>4625</v>
      </c>
      <c r="H8" s="5">
        <v>670</v>
      </c>
      <c r="I8" s="9">
        <f t="shared" si="0"/>
        <v>1.4863455864409788E-2</v>
      </c>
    </row>
    <row r="9" spans="1:9" x14ac:dyDescent="0.25">
      <c r="A9" t="s">
        <v>131</v>
      </c>
      <c r="B9" s="2">
        <v>45077</v>
      </c>
      <c r="C9" s="2" t="s">
        <v>85</v>
      </c>
      <c r="D9" s="2" t="s">
        <v>111</v>
      </c>
      <c r="E9" s="2" t="s">
        <v>122</v>
      </c>
      <c r="F9" s="2" t="s">
        <v>118</v>
      </c>
      <c r="G9" s="5">
        <f>5039</f>
        <v>5039</v>
      </c>
      <c r="H9" s="5">
        <v>2045</v>
      </c>
      <c r="I9" s="9">
        <f t="shared" si="0"/>
        <v>4.5365810373131019E-2</v>
      </c>
    </row>
    <row r="10" spans="1:9" x14ac:dyDescent="0.25">
      <c r="A10" t="s">
        <v>132</v>
      </c>
      <c r="B10" s="2">
        <v>45077</v>
      </c>
      <c r="C10" s="2" t="s">
        <v>82</v>
      </c>
      <c r="D10" s="2" t="s">
        <v>111</v>
      </c>
      <c r="E10" s="2" t="s">
        <v>122</v>
      </c>
      <c r="F10" s="2" t="s">
        <v>114</v>
      </c>
      <c r="G10" s="5">
        <v>3600</v>
      </c>
      <c r="H10" s="5">
        <v>1564</v>
      </c>
      <c r="I10" s="9">
        <f t="shared" si="0"/>
        <v>3.4695416833044945E-2</v>
      </c>
    </row>
    <row r="11" spans="1:9" x14ac:dyDescent="0.25">
      <c r="A11" t="s">
        <v>133</v>
      </c>
      <c r="B11" s="2">
        <v>45077</v>
      </c>
      <c r="C11" s="2" t="s">
        <v>107</v>
      </c>
      <c r="D11" s="2" t="s">
        <v>111</v>
      </c>
      <c r="E11" s="2" t="s">
        <v>122</v>
      </c>
      <c r="F11" s="2" t="s">
        <v>115</v>
      </c>
      <c r="G11" s="5">
        <v>5100</v>
      </c>
      <c r="H11" s="5">
        <v>1220</v>
      </c>
      <c r="I11" s="9">
        <f t="shared" si="0"/>
        <v>2.7064199831403346E-2</v>
      </c>
    </row>
    <row r="12" spans="1:9" x14ac:dyDescent="0.25">
      <c r="A12" t="s">
        <v>134</v>
      </c>
      <c r="B12" s="2">
        <v>45077</v>
      </c>
      <c r="C12" s="2" t="s">
        <v>101</v>
      </c>
      <c r="D12" s="2" t="s">
        <v>111</v>
      </c>
      <c r="E12" s="2" t="s">
        <v>122</v>
      </c>
      <c r="F12" s="2" t="s">
        <v>115</v>
      </c>
      <c r="G12" s="5">
        <v>4750</v>
      </c>
      <c r="H12" s="5">
        <v>1435</v>
      </c>
      <c r="I12" s="9">
        <f t="shared" si="0"/>
        <v>3.1833710457429346E-2</v>
      </c>
    </row>
    <row r="13" spans="1:9" x14ac:dyDescent="0.25">
      <c r="A13" t="s">
        <v>135</v>
      </c>
      <c r="B13" s="2">
        <v>45077</v>
      </c>
      <c r="C13" s="2" t="s">
        <v>87</v>
      </c>
      <c r="D13" s="2" t="s">
        <v>112</v>
      </c>
      <c r="E13" s="2" t="s">
        <v>120</v>
      </c>
      <c r="F13" s="2" t="s">
        <v>118</v>
      </c>
      <c r="G13" s="5">
        <v>6000</v>
      </c>
      <c r="H13" s="5">
        <v>998</v>
      </c>
      <c r="I13" s="9">
        <f t="shared" si="0"/>
        <v>2.2139402812902081E-2</v>
      </c>
    </row>
    <row r="14" spans="1:9" x14ac:dyDescent="0.25">
      <c r="A14" t="s">
        <v>136</v>
      </c>
      <c r="B14" s="2">
        <v>45077</v>
      </c>
      <c r="C14" s="2" t="s">
        <v>97</v>
      </c>
      <c r="D14" s="2" t="s">
        <v>110</v>
      </c>
      <c r="E14" s="2" t="s">
        <v>119</v>
      </c>
      <c r="F14" s="2" t="s">
        <v>115</v>
      </c>
      <c r="G14" s="5">
        <f>5039</f>
        <v>5039</v>
      </c>
      <c r="H14" s="5">
        <v>780</v>
      </c>
      <c r="I14" s="9">
        <f t="shared" si="0"/>
        <v>1.7303340875815254E-2</v>
      </c>
    </row>
    <row r="15" spans="1:9" x14ac:dyDescent="0.25">
      <c r="A15" t="s">
        <v>137</v>
      </c>
      <c r="B15" s="2">
        <v>45078</v>
      </c>
      <c r="C15" s="2" t="s">
        <v>89</v>
      </c>
      <c r="D15" s="2" t="s">
        <v>110</v>
      </c>
      <c r="E15" s="2" t="s">
        <v>119</v>
      </c>
      <c r="F15" s="2" t="s">
        <v>114</v>
      </c>
      <c r="G15" s="5">
        <f>4994</f>
        <v>4994</v>
      </c>
      <c r="H15" s="5">
        <v>1044</v>
      </c>
      <c r="I15" s="9">
        <f t="shared" si="0"/>
        <v>2.3159856249168109E-2</v>
      </c>
    </row>
    <row r="16" spans="1:9" x14ac:dyDescent="0.25">
      <c r="A16" t="s">
        <v>138</v>
      </c>
      <c r="B16" s="2">
        <v>45078</v>
      </c>
      <c r="C16" s="2" t="s">
        <v>106</v>
      </c>
      <c r="D16" s="2" t="s">
        <v>110</v>
      </c>
      <c r="E16" s="2" t="s">
        <v>119</v>
      </c>
      <c r="F16" s="2" t="s">
        <v>118</v>
      </c>
      <c r="G16" s="5">
        <v>3712.5</v>
      </c>
      <c r="H16" s="5">
        <v>1222</v>
      </c>
      <c r="I16" s="9">
        <f t="shared" si="0"/>
        <v>2.7108567372110565E-2</v>
      </c>
    </row>
    <row r="17" spans="1:9" x14ac:dyDescent="0.25">
      <c r="A17" t="s">
        <v>139</v>
      </c>
      <c r="B17" s="2">
        <v>45078</v>
      </c>
      <c r="C17" s="2" t="s">
        <v>104</v>
      </c>
      <c r="D17" s="2" t="s">
        <v>110</v>
      </c>
      <c r="E17" s="2" t="s">
        <v>119</v>
      </c>
      <c r="F17" s="2" t="s">
        <v>118</v>
      </c>
      <c r="G17" s="5">
        <v>4950</v>
      </c>
      <c r="H17" s="5">
        <v>1065</v>
      </c>
      <c r="I17" s="9">
        <f t="shared" si="0"/>
        <v>2.3625191330774863E-2</v>
      </c>
    </row>
    <row r="18" spans="1:9" x14ac:dyDescent="0.25">
      <c r="A18" t="s">
        <v>140</v>
      </c>
      <c r="B18" s="2">
        <v>45078</v>
      </c>
      <c r="C18" s="2" t="s">
        <v>84</v>
      </c>
      <c r="D18" s="2" t="s">
        <v>112</v>
      </c>
      <c r="E18" s="2" t="s">
        <v>120</v>
      </c>
      <c r="F18" s="2" t="s">
        <v>118</v>
      </c>
      <c r="G18" s="5">
        <v>4750</v>
      </c>
      <c r="H18" s="5">
        <v>810</v>
      </c>
      <c r="I18" s="9">
        <f t="shared" si="0"/>
        <v>1.7968455378335812E-2</v>
      </c>
    </row>
    <row r="19" spans="1:9" x14ac:dyDescent="0.25">
      <c r="A19" t="s">
        <v>141</v>
      </c>
      <c r="B19" s="2">
        <v>45078</v>
      </c>
      <c r="C19" s="2" t="s">
        <v>83</v>
      </c>
      <c r="D19" s="2" t="s">
        <v>112</v>
      </c>
      <c r="E19" s="2" t="s">
        <v>120</v>
      </c>
      <c r="F19" s="2" t="s">
        <v>118</v>
      </c>
      <c r="G19" s="5">
        <v>7320</v>
      </c>
      <c r="H19" s="5">
        <v>933</v>
      </c>
      <c r="I19" s="9">
        <f t="shared" si="0"/>
        <v>2.069699860245347E-2</v>
      </c>
    </row>
    <row r="20" spans="1:9" x14ac:dyDescent="0.25">
      <c r="A20" t="s">
        <v>142</v>
      </c>
      <c r="B20" s="2">
        <v>45078</v>
      </c>
      <c r="C20" s="2" t="s">
        <v>81</v>
      </c>
      <c r="D20" s="2" t="s">
        <v>110</v>
      </c>
      <c r="E20" s="2" t="s">
        <v>119</v>
      </c>
      <c r="F20" s="2" t="s">
        <v>118</v>
      </c>
      <c r="G20" s="5">
        <v>5087.5</v>
      </c>
      <c r="H20" s="5">
        <v>655</v>
      </c>
      <c r="I20" s="9">
        <f t="shared" si="0"/>
        <v>1.4530047250382662E-2</v>
      </c>
    </row>
    <row r="21" spans="1:9" x14ac:dyDescent="0.25">
      <c r="A21" t="s">
        <v>143</v>
      </c>
      <c r="B21" s="2">
        <v>45078</v>
      </c>
      <c r="C21" s="2" t="s">
        <v>93</v>
      </c>
      <c r="D21" s="2" t="s">
        <v>110</v>
      </c>
      <c r="E21" s="2" t="s">
        <v>119</v>
      </c>
      <c r="F21" s="2" t="s">
        <v>118</v>
      </c>
      <c r="G21" s="5">
        <v>4500</v>
      </c>
      <c r="H21" s="5">
        <v>722</v>
      </c>
      <c r="I21" s="9">
        <f t="shared" si="0"/>
        <v>1.6016326892788216E-2</v>
      </c>
    </row>
    <row r="22" spans="1:9" x14ac:dyDescent="0.25">
      <c r="A22" t="s">
        <v>144</v>
      </c>
      <c r="B22" s="2">
        <v>45078</v>
      </c>
      <c r="C22" s="2" t="s">
        <v>92</v>
      </c>
      <c r="D22" s="2" t="s">
        <v>110</v>
      </c>
      <c r="E22" s="2" t="s">
        <v>119</v>
      </c>
      <c r="F22" s="2" t="s">
        <v>114</v>
      </c>
      <c r="G22" s="5">
        <v>4250</v>
      </c>
      <c r="H22" s="5">
        <v>901</v>
      </c>
      <c r="I22" s="9">
        <f t="shared" si="0"/>
        <v>1.998713369861798E-2</v>
      </c>
    </row>
    <row r="23" spans="1:9" x14ac:dyDescent="0.25">
      <c r="A23" t="s">
        <v>145</v>
      </c>
      <c r="B23" s="2">
        <v>45079</v>
      </c>
      <c r="C23" s="2" t="s">
        <v>98</v>
      </c>
      <c r="D23" s="2" t="s">
        <v>110</v>
      </c>
      <c r="E23" s="2" t="s">
        <v>119</v>
      </c>
      <c r="F23" s="2" t="s">
        <v>117</v>
      </c>
      <c r="G23" s="5">
        <v>5250</v>
      </c>
      <c r="H23" s="5">
        <v>1349</v>
      </c>
      <c r="I23" s="9">
        <f t="shared" si="0"/>
        <v>2.9925242352314824E-2</v>
      </c>
    </row>
    <row r="24" spans="1:9" x14ac:dyDescent="0.25">
      <c r="A24" t="s">
        <v>146</v>
      </c>
      <c r="B24" s="2">
        <v>45079</v>
      </c>
      <c r="C24" s="2" t="s">
        <v>86</v>
      </c>
      <c r="D24" s="2" t="s">
        <v>113</v>
      </c>
      <c r="E24" s="2" t="s">
        <v>121</v>
      </c>
      <c r="F24" s="2" t="s">
        <v>117</v>
      </c>
      <c r="G24" s="5">
        <v>6500</v>
      </c>
      <c r="H24" s="5">
        <v>1288</v>
      </c>
      <c r="I24" s="9">
        <f>IFERROR(H24/#REF!,0)</f>
        <v>0</v>
      </c>
    </row>
    <row r="25" spans="1:9" x14ac:dyDescent="0.25">
      <c r="A25" t="s">
        <v>147</v>
      </c>
      <c r="B25" s="2">
        <v>45079</v>
      </c>
      <c r="C25" s="2" t="s">
        <v>88</v>
      </c>
      <c r="D25" s="2" t="s">
        <v>113</v>
      </c>
      <c r="E25" s="2" t="s">
        <v>121</v>
      </c>
      <c r="F25" s="2" t="s">
        <v>117</v>
      </c>
      <c r="G25" s="5">
        <v>7500</v>
      </c>
      <c r="H25" s="5">
        <v>1664</v>
      </c>
      <c r="I25" s="9">
        <f>IFERROR(H25/B31,0)</f>
        <v>0</v>
      </c>
    </row>
    <row r="26" spans="1:9" x14ac:dyDescent="0.25">
      <c r="A26" t="s">
        <v>148</v>
      </c>
      <c r="B26" s="2">
        <v>45079</v>
      </c>
      <c r="C26" s="2" t="s">
        <v>94</v>
      </c>
      <c r="D26" s="2" t="s">
        <v>113</v>
      </c>
      <c r="E26" s="2" t="s">
        <v>121</v>
      </c>
      <c r="F26" s="2" t="s">
        <v>118</v>
      </c>
      <c r="G26" s="5">
        <v>5500</v>
      </c>
      <c r="H26" s="5">
        <v>1320</v>
      </c>
      <c r="I26" s="9">
        <f>IFERROR(H26/B32,0)</f>
        <v>0</v>
      </c>
    </row>
    <row r="27" spans="1:9" x14ac:dyDescent="0.25">
      <c r="A27" t="s">
        <v>149</v>
      </c>
      <c r="B27" s="2">
        <v>45079</v>
      </c>
      <c r="C27" s="2" t="s">
        <v>90</v>
      </c>
      <c r="D27" s="2" t="s">
        <v>113</v>
      </c>
      <c r="E27" s="2" t="s">
        <v>121</v>
      </c>
      <c r="F27" s="2" t="s">
        <v>118</v>
      </c>
      <c r="G27" s="5">
        <v>4625</v>
      </c>
      <c r="H27" s="5">
        <v>1001</v>
      </c>
      <c r="I27" s="9">
        <f>IFERROR(H27/B33,0)</f>
        <v>0</v>
      </c>
    </row>
    <row r="28" spans="1:9" x14ac:dyDescent="0.25">
      <c r="A28" t="s">
        <v>150</v>
      </c>
      <c r="B28" s="2">
        <v>45079</v>
      </c>
      <c r="C28" s="2" t="s">
        <v>91</v>
      </c>
      <c r="D28" s="2" t="s">
        <v>113</v>
      </c>
      <c r="E28" s="2" t="s">
        <v>121</v>
      </c>
      <c r="F28" s="2" t="s">
        <v>118</v>
      </c>
      <c r="G28" s="5">
        <v>4500</v>
      </c>
      <c r="H28" s="5">
        <v>960</v>
      </c>
      <c r="I28" s="9">
        <f>IFERROR(H28/B34,0)</f>
        <v>0</v>
      </c>
    </row>
    <row r="29" spans="1:9" x14ac:dyDescent="0.25">
      <c r="A29" t="s">
        <v>151</v>
      </c>
      <c r="B29" s="2">
        <v>45079</v>
      </c>
      <c r="C29" s="2" t="s">
        <v>96</v>
      </c>
      <c r="D29" s="2" t="s">
        <v>113</v>
      </c>
      <c r="E29" s="2" t="s">
        <v>121</v>
      </c>
      <c r="F29" s="2" t="s">
        <v>114</v>
      </c>
      <c r="G29" s="5">
        <v>5400</v>
      </c>
      <c r="H29" s="5">
        <v>540</v>
      </c>
      <c r="I29" s="9">
        <f>IFERROR(H29/B35,0)</f>
        <v>0</v>
      </c>
    </row>
    <row r="30" spans="1:9" x14ac:dyDescent="0.25">
      <c r="A30" t="s">
        <v>156</v>
      </c>
      <c r="B30" s="2">
        <v>45080</v>
      </c>
      <c r="C30" s="2" t="s">
        <v>97</v>
      </c>
      <c r="D30" s="2" t="s">
        <v>157</v>
      </c>
      <c r="E30" s="2" t="s">
        <v>122</v>
      </c>
      <c r="F30" s="2" t="s">
        <v>115</v>
      </c>
      <c r="G30" s="5">
        <v>5400</v>
      </c>
      <c r="H30" s="5">
        <v>540</v>
      </c>
      <c r="I30" s="9">
        <f>IFERROR(H30/B36,0)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="85" zoomScaleNormal="85" workbookViewId="0">
      <selection sqref="A1:D29"/>
    </sheetView>
  </sheetViews>
  <sheetFormatPr defaultColWidth="11" defaultRowHeight="15.75" x14ac:dyDescent="0.25"/>
  <cols>
    <col min="1" max="1" width="34.625" customWidth="1"/>
    <col min="2" max="2" width="14" customWidth="1"/>
    <col min="3" max="3" width="43.125" customWidth="1"/>
    <col min="4" max="4" width="28.625" customWidth="1"/>
  </cols>
  <sheetData>
    <row r="1" spans="1:4" x14ac:dyDescent="0.25">
      <c r="A1" s="3" t="s">
        <v>4</v>
      </c>
      <c r="B1" s="3" t="s">
        <v>79</v>
      </c>
      <c r="C1" s="3" t="s">
        <v>155</v>
      </c>
      <c r="D1" s="3" t="s">
        <v>44</v>
      </c>
    </row>
    <row r="2" spans="1:4" x14ac:dyDescent="0.25">
      <c r="A2" s="4" t="s">
        <v>16</v>
      </c>
      <c r="B2" s="13" t="s">
        <v>80</v>
      </c>
      <c r="C2" s="4" t="s">
        <v>16</v>
      </c>
      <c r="D2" t="s">
        <v>45</v>
      </c>
    </row>
    <row r="3" spans="1:4" x14ac:dyDescent="0.25">
      <c r="A3" s="4" t="s">
        <v>34</v>
      </c>
      <c r="B3" s="13" t="s">
        <v>81</v>
      </c>
      <c r="C3" s="4" t="s">
        <v>34</v>
      </c>
      <c r="D3" t="s">
        <v>59</v>
      </c>
    </row>
    <row r="4" spans="1:4" x14ac:dyDescent="0.25">
      <c r="A4" s="4" t="s">
        <v>24</v>
      </c>
      <c r="B4" s="13" t="s">
        <v>82</v>
      </c>
      <c r="C4" s="4" t="s">
        <v>24</v>
      </c>
      <c r="D4" t="s">
        <v>7</v>
      </c>
    </row>
    <row r="5" spans="1:4" x14ac:dyDescent="0.25">
      <c r="A5" s="4" t="s">
        <v>33</v>
      </c>
      <c r="B5" s="13" t="s">
        <v>83</v>
      </c>
      <c r="C5" s="4" t="s">
        <v>33</v>
      </c>
      <c r="D5" t="s">
        <v>58</v>
      </c>
    </row>
    <row r="6" spans="1:4" x14ac:dyDescent="0.25">
      <c r="A6" s="4" t="s">
        <v>32</v>
      </c>
      <c r="B6" s="13" t="s">
        <v>84</v>
      </c>
      <c r="C6" s="4" t="s">
        <v>32</v>
      </c>
      <c r="D6" t="s">
        <v>57</v>
      </c>
    </row>
    <row r="7" spans="1:4" x14ac:dyDescent="0.25">
      <c r="A7" s="4" t="s">
        <v>23</v>
      </c>
      <c r="B7" s="13" t="s">
        <v>85</v>
      </c>
      <c r="C7" s="4" t="s">
        <v>23</v>
      </c>
      <c r="D7" t="s">
        <v>51</v>
      </c>
    </row>
    <row r="8" spans="1:4" x14ac:dyDescent="0.25">
      <c r="A8" s="4" t="s">
        <v>38</v>
      </c>
      <c r="B8" s="13" t="s">
        <v>86</v>
      </c>
      <c r="C8" s="4" t="s">
        <v>38</v>
      </c>
      <c r="D8" t="s">
        <v>63</v>
      </c>
    </row>
    <row r="9" spans="1:4" x14ac:dyDescent="0.25">
      <c r="A9" s="4" t="s">
        <v>27</v>
      </c>
      <c r="B9" s="13" t="s">
        <v>87</v>
      </c>
      <c r="C9" s="4" t="s">
        <v>27</v>
      </c>
      <c r="D9" t="s">
        <v>53</v>
      </c>
    </row>
    <row r="10" spans="1:4" x14ac:dyDescent="0.25">
      <c r="A10" s="4" t="s">
        <v>39</v>
      </c>
      <c r="B10" s="13" t="s">
        <v>88</v>
      </c>
      <c r="C10" s="4" t="s">
        <v>39</v>
      </c>
      <c r="D10" t="s">
        <v>64</v>
      </c>
    </row>
    <row r="11" spans="1:4" x14ac:dyDescent="0.25">
      <c r="A11" s="4" t="s">
        <v>29</v>
      </c>
      <c r="B11" s="13" t="s">
        <v>89</v>
      </c>
      <c r="C11" s="4" t="s">
        <v>29</v>
      </c>
      <c r="D11" t="s">
        <v>9</v>
      </c>
    </row>
    <row r="12" spans="1:4" x14ac:dyDescent="0.25">
      <c r="A12" s="4" t="s">
        <v>41</v>
      </c>
      <c r="B12" s="13" t="s">
        <v>90</v>
      </c>
      <c r="C12" s="4" t="s">
        <v>41</v>
      </c>
      <c r="D12" t="s">
        <v>66</v>
      </c>
    </row>
    <row r="13" spans="1:4" x14ac:dyDescent="0.25">
      <c r="A13" s="4" t="s">
        <v>42</v>
      </c>
      <c r="B13" s="13" t="s">
        <v>91</v>
      </c>
      <c r="C13" s="4" t="s">
        <v>42</v>
      </c>
      <c r="D13" t="s">
        <v>67</v>
      </c>
    </row>
    <row r="14" spans="1:4" x14ac:dyDescent="0.25">
      <c r="A14" s="4" t="s">
        <v>36</v>
      </c>
      <c r="B14" s="13" t="s">
        <v>92</v>
      </c>
      <c r="C14" s="4" t="s">
        <v>36</v>
      </c>
      <c r="D14" t="s">
        <v>61</v>
      </c>
    </row>
    <row r="15" spans="1:4" x14ac:dyDescent="0.25">
      <c r="A15" s="4" t="s">
        <v>35</v>
      </c>
      <c r="B15" s="13" t="s">
        <v>93</v>
      </c>
      <c r="C15" s="4" t="s">
        <v>35</v>
      </c>
      <c r="D15" t="s">
        <v>60</v>
      </c>
    </row>
    <row r="16" spans="1:4" x14ac:dyDescent="0.25">
      <c r="A16" s="4" t="s">
        <v>40</v>
      </c>
      <c r="B16" s="13" t="s">
        <v>94</v>
      </c>
      <c r="C16" s="4" t="s">
        <v>40</v>
      </c>
      <c r="D16" t="s">
        <v>65</v>
      </c>
    </row>
    <row r="17" spans="1:4" x14ac:dyDescent="0.25">
      <c r="A17" s="4" t="s">
        <v>21</v>
      </c>
      <c r="B17" s="13" t="s">
        <v>95</v>
      </c>
      <c r="C17" s="4" t="s">
        <v>21</v>
      </c>
      <c r="D17" t="s">
        <v>49</v>
      </c>
    </row>
    <row r="18" spans="1:4" x14ac:dyDescent="0.25">
      <c r="A18" s="4" t="s">
        <v>43</v>
      </c>
      <c r="B18" s="13" t="s">
        <v>96</v>
      </c>
      <c r="C18" s="4" t="s">
        <v>43</v>
      </c>
      <c r="D18" t="s">
        <v>10</v>
      </c>
    </row>
    <row r="19" spans="1:4" x14ac:dyDescent="0.25">
      <c r="A19" s="4" t="s">
        <v>28</v>
      </c>
      <c r="B19" s="13" t="s">
        <v>97</v>
      </c>
      <c r="C19" s="4" t="s">
        <v>28</v>
      </c>
      <c r="D19" t="s">
        <v>54</v>
      </c>
    </row>
    <row r="20" spans="1:4" x14ac:dyDescent="0.25">
      <c r="A20" s="4" t="s">
        <v>37</v>
      </c>
      <c r="B20" s="13" t="s">
        <v>98</v>
      </c>
      <c r="C20" s="4" t="s">
        <v>37</v>
      </c>
      <c r="D20" t="s">
        <v>62</v>
      </c>
    </row>
    <row r="21" spans="1:4" x14ac:dyDescent="0.25">
      <c r="A21" s="4" t="s">
        <v>22</v>
      </c>
      <c r="B21" s="13" t="s">
        <v>99</v>
      </c>
      <c r="C21" s="4" t="s">
        <v>22</v>
      </c>
      <c r="D21" t="s">
        <v>50</v>
      </c>
    </row>
    <row r="22" spans="1:4" x14ac:dyDescent="0.25">
      <c r="A22" s="4" t="s">
        <v>18</v>
      </c>
      <c r="B22" s="13" t="s">
        <v>100</v>
      </c>
      <c r="C22" s="4" t="s">
        <v>18</v>
      </c>
      <c r="D22" t="s">
        <v>47</v>
      </c>
    </row>
    <row r="23" spans="1:4" x14ac:dyDescent="0.25">
      <c r="A23" s="4" t="s">
        <v>26</v>
      </c>
      <c r="B23" s="13" t="s">
        <v>101</v>
      </c>
      <c r="C23" s="4" t="s">
        <v>26</v>
      </c>
      <c r="D23" t="s">
        <v>52</v>
      </c>
    </row>
    <row r="24" spans="1:4" x14ac:dyDescent="0.25">
      <c r="A24" s="4" t="s">
        <v>17</v>
      </c>
      <c r="B24" s="13" t="s">
        <v>102</v>
      </c>
      <c r="C24" s="4" t="s">
        <v>17</v>
      </c>
      <c r="D24" t="s">
        <v>46</v>
      </c>
    </row>
    <row r="25" spans="1:4" x14ac:dyDescent="0.25">
      <c r="A25" s="4" t="s">
        <v>20</v>
      </c>
      <c r="B25" s="13" t="s">
        <v>103</v>
      </c>
      <c r="C25" s="4" t="s">
        <v>20</v>
      </c>
      <c r="D25" t="s">
        <v>48</v>
      </c>
    </row>
    <row r="26" spans="1:4" x14ac:dyDescent="0.25">
      <c r="A26" s="4" t="s">
        <v>31</v>
      </c>
      <c r="B26" s="13" t="s">
        <v>104</v>
      </c>
      <c r="C26" s="4" t="s">
        <v>31</v>
      </c>
      <c r="D26" t="s">
        <v>56</v>
      </c>
    </row>
    <row r="27" spans="1:4" x14ac:dyDescent="0.25">
      <c r="A27" s="4" t="s">
        <v>19</v>
      </c>
      <c r="B27" s="13" t="s">
        <v>105</v>
      </c>
      <c r="C27" s="4" t="s">
        <v>19</v>
      </c>
      <c r="D27" t="s">
        <v>6</v>
      </c>
    </row>
    <row r="28" spans="1:4" x14ac:dyDescent="0.25">
      <c r="A28" s="4" t="s">
        <v>30</v>
      </c>
      <c r="B28" s="13" t="s">
        <v>106</v>
      </c>
      <c r="C28" s="4" t="s">
        <v>30</v>
      </c>
      <c r="D28" t="s">
        <v>55</v>
      </c>
    </row>
    <row r="29" spans="1:4" x14ac:dyDescent="0.25">
      <c r="A29" s="4" t="s">
        <v>25</v>
      </c>
      <c r="B29" s="13" t="s">
        <v>107</v>
      </c>
      <c r="C29" s="4" t="s">
        <v>25</v>
      </c>
      <c r="D29" t="s">
        <v>8</v>
      </c>
    </row>
  </sheetData>
  <sortState ref="B3:D30">
    <sortCondition ref="C3:C30"/>
    <sortCondition ref="B3:B30"/>
    <sortCondition ref="D3:D30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15" zoomScaleNormal="115" workbookViewId="0">
      <selection sqref="A1:B5"/>
    </sheetView>
  </sheetViews>
  <sheetFormatPr defaultColWidth="11" defaultRowHeight="15.75" x14ac:dyDescent="0.25"/>
  <cols>
    <col min="1" max="1" width="17.625" customWidth="1"/>
    <col min="2" max="2" width="32.5" customWidth="1"/>
  </cols>
  <sheetData>
    <row r="1" spans="1:3" x14ac:dyDescent="0.25">
      <c r="A1" s="3" t="s">
        <v>5</v>
      </c>
      <c r="B1" s="3" t="s">
        <v>152</v>
      </c>
      <c r="C1" s="7"/>
    </row>
    <row r="2" spans="1:3" x14ac:dyDescent="0.25">
      <c r="A2" t="s">
        <v>75</v>
      </c>
      <c r="B2" t="s">
        <v>110</v>
      </c>
    </row>
    <row r="3" spans="1:3" x14ac:dyDescent="0.25">
      <c r="A3" t="s">
        <v>69</v>
      </c>
      <c r="B3" t="s">
        <v>111</v>
      </c>
    </row>
    <row r="4" spans="1:3" x14ac:dyDescent="0.25">
      <c r="A4" t="s">
        <v>73</v>
      </c>
      <c r="B4" t="s">
        <v>112</v>
      </c>
    </row>
    <row r="5" spans="1:3" x14ac:dyDescent="0.25">
      <c r="A5" t="s">
        <v>71</v>
      </c>
      <c r="B5" t="s">
        <v>113</v>
      </c>
    </row>
  </sheetData>
  <sortState ref="A3:A6">
    <sortCondition ref="A3"/>
  </sortState>
  <conditionalFormatting sqref="A2:A5">
    <cfRule type="duplicateValues" dxfId="2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15" zoomScaleNormal="115" workbookViewId="0">
      <selection sqref="A1:B5"/>
    </sheetView>
  </sheetViews>
  <sheetFormatPr defaultColWidth="11" defaultRowHeight="15.75" x14ac:dyDescent="0.25"/>
  <cols>
    <col min="1" max="1" width="15.125" customWidth="1"/>
    <col min="2" max="2" width="16.875" customWidth="1"/>
  </cols>
  <sheetData>
    <row r="1" spans="1:2" x14ac:dyDescent="0.25">
      <c r="A1" s="3" t="s">
        <v>68</v>
      </c>
      <c r="B1" s="3" t="s">
        <v>108</v>
      </c>
    </row>
    <row r="2" spans="1:2" x14ac:dyDescent="0.25">
      <c r="A2" t="s">
        <v>76</v>
      </c>
      <c r="B2" t="s">
        <v>119</v>
      </c>
    </row>
    <row r="3" spans="1:2" x14ac:dyDescent="0.25">
      <c r="A3" t="s">
        <v>74</v>
      </c>
      <c r="B3" t="s">
        <v>120</v>
      </c>
    </row>
    <row r="4" spans="1:2" x14ac:dyDescent="0.25">
      <c r="A4" t="s">
        <v>72</v>
      </c>
      <c r="B4" t="s">
        <v>121</v>
      </c>
    </row>
    <row r="5" spans="1:2" x14ac:dyDescent="0.25">
      <c r="A5" t="s">
        <v>70</v>
      </c>
      <c r="B5" t="s">
        <v>122</v>
      </c>
    </row>
  </sheetData>
  <sortState ref="B3:B7">
    <sortCondition ref="B3"/>
  </sortState>
  <conditionalFormatting sqref="A2:A5">
    <cfRule type="duplicateValues" dxfId="1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115" zoomScaleNormal="115" workbookViewId="0">
      <selection activeCell="E9" sqref="E9"/>
    </sheetView>
  </sheetViews>
  <sheetFormatPr defaultColWidth="11" defaultRowHeight="15.75" x14ac:dyDescent="0.25"/>
  <cols>
    <col min="1" max="1" width="14.625" customWidth="1"/>
    <col min="2" max="2" width="12.5" customWidth="1"/>
  </cols>
  <sheetData>
    <row r="1" spans="1:3" x14ac:dyDescent="0.25">
      <c r="A1" s="3" t="s">
        <v>11</v>
      </c>
      <c r="B1" s="3" t="s">
        <v>109</v>
      </c>
      <c r="C1" s="8"/>
    </row>
    <row r="2" spans="1:3" x14ac:dyDescent="0.25">
      <c r="A2" t="s">
        <v>12</v>
      </c>
      <c r="B2" t="s">
        <v>114</v>
      </c>
    </row>
    <row r="3" spans="1:3" x14ac:dyDescent="0.25">
      <c r="A3" t="s">
        <v>14</v>
      </c>
      <c r="B3" t="s">
        <v>115</v>
      </c>
    </row>
    <row r="4" spans="1:3" x14ac:dyDescent="0.25">
      <c r="A4" t="s">
        <v>77</v>
      </c>
      <c r="B4" t="s">
        <v>116</v>
      </c>
    </row>
    <row r="5" spans="1:3" x14ac:dyDescent="0.25">
      <c r="A5" t="s">
        <v>13</v>
      </c>
      <c r="B5" t="s">
        <v>117</v>
      </c>
    </row>
    <row r="6" spans="1:3" x14ac:dyDescent="0.25">
      <c r="A6" t="s">
        <v>15</v>
      </c>
      <c r="B6" t="s">
        <v>118</v>
      </c>
    </row>
  </sheetData>
  <conditionalFormatting sqref="A2:A6 B7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zoomScale="85" zoomScaleNormal="85" workbookViewId="0">
      <selection activeCell="P1" sqref="P1"/>
    </sheetView>
  </sheetViews>
  <sheetFormatPr defaultColWidth="11" defaultRowHeight="15.75" x14ac:dyDescent="0.25"/>
  <cols>
    <col min="1" max="1" width="13.625" customWidth="1"/>
    <col min="2" max="2" width="11.125" bestFit="1" customWidth="1"/>
    <col min="3" max="3" width="18.5" customWidth="1"/>
    <col min="4" max="4" width="43.125" customWidth="1"/>
    <col min="5" max="5" width="16.875" bestFit="1" customWidth="1"/>
    <col min="6" max="8" width="16.875" customWidth="1"/>
    <col min="9" max="10" width="11.125" customWidth="1"/>
    <col min="11" max="11" width="11.625" customWidth="1"/>
    <col min="12" max="12" width="9.625" customWidth="1"/>
    <col min="13" max="13" width="16" customWidth="1"/>
  </cols>
  <sheetData>
    <row r="1" spans="1:13" x14ac:dyDescent="0.25">
      <c r="B1" s="14" t="s">
        <v>78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25">
      <c r="A2" s="3" t="s">
        <v>123</v>
      </c>
      <c r="B2" s="3" t="s">
        <v>0</v>
      </c>
      <c r="C2" s="3" t="s">
        <v>79</v>
      </c>
      <c r="D2" s="3" t="s">
        <v>4</v>
      </c>
      <c r="E2" s="3" t="s">
        <v>152</v>
      </c>
      <c r="F2" s="3" t="s">
        <v>5</v>
      </c>
      <c r="G2" s="3" t="s">
        <v>108</v>
      </c>
      <c r="H2" s="3" t="s">
        <v>68</v>
      </c>
      <c r="I2" s="3" t="s">
        <v>109</v>
      </c>
      <c r="J2" s="3" t="s">
        <v>11</v>
      </c>
      <c r="K2" s="3" t="s">
        <v>1</v>
      </c>
      <c r="L2" s="3" t="s">
        <v>2</v>
      </c>
      <c r="M2" s="3" t="s">
        <v>3</v>
      </c>
    </row>
    <row r="3" spans="1:13" x14ac:dyDescent="0.25">
      <c r="A3" t="s">
        <v>124</v>
      </c>
      <c r="B3" s="2">
        <v>45076</v>
      </c>
      <c r="C3" s="11" t="str">
        <f>VLOOKUP(D3,Client_dim!$A$2:$B$29,2,0)</f>
        <v>C101</v>
      </c>
      <c r="D3" s="4" t="s">
        <v>16</v>
      </c>
      <c r="E3" s="12" t="str">
        <f>VLOOKUP(F3,Department_dim!A$1:B$5,2,FALSE)</f>
        <v>D-102</v>
      </c>
      <c r="F3" s="10" t="s">
        <v>69</v>
      </c>
      <c r="G3" s="12" t="str">
        <f>VLOOKUP(H3,State_dim!A$1:B$5,2,0)</f>
        <v>S-104</v>
      </c>
      <c r="H3" t="s">
        <v>70</v>
      </c>
      <c r="I3" s="12" t="str">
        <f>VLOOKUP(J3,Payment_dim!A$1:B$6,2,0)</f>
        <v>P-105</v>
      </c>
      <c r="J3" s="10" t="s">
        <v>15</v>
      </c>
      <c r="K3" s="5">
        <v>4500</v>
      </c>
      <c r="L3" s="5">
        <v>598</v>
      </c>
      <c r="M3" s="9">
        <f t="shared" ref="M3:M30" si="0">IFERROR(L3/K3,0)</f>
        <v>0.13288888888888889</v>
      </c>
    </row>
    <row r="4" spans="1:13" x14ac:dyDescent="0.25">
      <c r="A4" t="s">
        <v>125</v>
      </c>
      <c r="B4" s="2">
        <v>45076</v>
      </c>
      <c r="C4" s="11" t="str">
        <f>VLOOKUP(D4,Client_dim!$A$2:$B$29,2,0)</f>
        <v>C123</v>
      </c>
      <c r="D4" s="4" t="s">
        <v>17</v>
      </c>
      <c r="E4" s="12" t="str">
        <f>VLOOKUP(F4,Department_dim!A$1:B$5,2,FALSE)</f>
        <v>D-104</v>
      </c>
      <c r="F4" s="10" t="s">
        <v>71</v>
      </c>
      <c r="G4" s="12" t="str">
        <f>VLOOKUP(H4,State_dim!A$1:B$5,2,0)</f>
        <v>S-103</v>
      </c>
      <c r="H4" t="s">
        <v>72</v>
      </c>
      <c r="I4" s="12" t="str">
        <f>VLOOKUP(J4,Payment_dim!A$1:B$6,2,0)</f>
        <v>P-104</v>
      </c>
      <c r="J4" s="10" t="s">
        <v>13</v>
      </c>
      <c r="K4" s="5">
        <v>3800</v>
      </c>
      <c r="L4" s="5">
        <v>1045</v>
      </c>
      <c r="M4" s="9">
        <f t="shared" si="0"/>
        <v>0.27500000000000002</v>
      </c>
    </row>
    <row r="5" spans="1:13" x14ac:dyDescent="0.25">
      <c r="A5" t="s">
        <v>126</v>
      </c>
      <c r="B5" s="2">
        <v>45076</v>
      </c>
      <c r="C5" s="11" t="str">
        <f>VLOOKUP(D5,Client_dim!$A$2:$B$29,2,0)</f>
        <v>C121</v>
      </c>
      <c r="D5" s="4" t="s">
        <v>18</v>
      </c>
      <c r="E5" s="12" t="str">
        <f>VLOOKUP(F5,Department_dim!A$1:B$5,2,FALSE)</f>
        <v>D-104</v>
      </c>
      <c r="F5" s="10" t="s">
        <v>71</v>
      </c>
      <c r="G5" s="12" t="str">
        <f>VLOOKUP(H5,State_dim!A$1:B$5,2,0)</f>
        <v>S-103</v>
      </c>
      <c r="H5" t="s">
        <v>72</v>
      </c>
      <c r="I5" s="12" t="str">
        <f>VLOOKUP(J5,Payment_dim!A$1:B$6,2,0)</f>
        <v>P-103</v>
      </c>
      <c r="J5" s="10" t="s">
        <v>77</v>
      </c>
      <c r="K5" s="5">
        <v>3712.5</v>
      </c>
      <c r="L5" s="5">
        <v>1009</v>
      </c>
      <c r="M5" s="9">
        <f t="shared" si="0"/>
        <v>0.2717845117845118</v>
      </c>
    </row>
    <row r="6" spans="1:13" x14ac:dyDescent="0.25">
      <c r="A6" t="s">
        <v>127</v>
      </c>
      <c r="B6" s="2">
        <v>45076</v>
      </c>
      <c r="C6" s="11" t="str">
        <f>VLOOKUP(D6,Client_dim!$A$2:$B$29,2,0)</f>
        <v>C126</v>
      </c>
      <c r="D6" s="4" t="s">
        <v>19</v>
      </c>
      <c r="E6" s="12" t="str">
        <f>VLOOKUP(F6,Department_dim!A$1:B$5,2,FALSE)</f>
        <v>D-103</v>
      </c>
      <c r="F6" s="10" t="s">
        <v>73</v>
      </c>
      <c r="G6" s="12" t="str">
        <f>VLOOKUP(H6,State_dim!A$1:B$5,2,0)</f>
        <v>S-102</v>
      </c>
      <c r="H6" t="s">
        <v>74</v>
      </c>
      <c r="I6" s="12" t="str">
        <f>VLOOKUP(J6,Payment_dim!A$1:B$6,2,0)</f>
        <v>P-103</v>
      </c>
      <c r="J6" s="10" t="s">
        <v>77</v>
      </c>
      <c r="K6" s="5">
        <f>4994</f>
        <v>4994</v>
      </c>
      <c r="L6" s="5">
        <v>779</v>
      </c>
      <c r="M6" s="9">
        <f t="shared" si="0"/>
        <v>0.15598718462154584</v>
      </c>
    </row>
    <row r="7" spans="1:13" x14ac:dyDescent="0.25">
      <c r="A7" t="s">
        <v>128</v>
      </c>
      <c r="B7" s="2">
        <v>45076</v>
      </c>
      <c r="C7" s="11" t="str">
        <f>VLOOKUP(D7,Client_dim!$A$2:$B$29,2,0)</f>
        <v>C124</v>
      </c>
      <c r="D7" s="4" t="s">
        <v>20</v>
      </c>
      <c r="E7" s="12" t="str">
        <f>VLOOKUP(F7,Department_dim!A$1:B$5,2,FALSE)</f>
        <v>D-103</v>
      </c>
      <c r="F7" s="10" t="s">
        <v>73</v>
      </c>
      <c r="G7" s="12" t="str">
        <f>VLOOKUP(H7,State_dim!A$1:B$5,2,0)</f>
        <v>S-102</v>
      </c>
      <c r="H7" t="s">
        <v>74</v>
      </c>
      <c r="I7" s="12" t="str">
        <f>VLOOKUP(J7,Payment_dim!A$1:B$6,2,0)</f>
        <v>P-102</v>
      </c>
      <c r="J7" s="10" t="s">
        <v>14</v>
      </c>
      <c r="K7" s="5">
        <v>5000</v>
      </c>
      <c r="L7" s="5">
        <v>684</v>
      </c>
      <c r="M7" s="9">
        <f t="shared" si="0"/>
        <v>0.1368</v>
      </c>
    </row>
    <row r="8" spans="1:13" x14ac:dyDescent="0.25">
      <c r="A8" t="s">
        <v>129</v>
      </c>
      <c r="B8" s="2">
        <v>45077</v>
      </c>
      <c r="C8" s="11" t="str">
        <f>VLOOKUP(D8,Client_dim!$A$2:$B$29,2,0)</f>
        <v>C116</v>
      </c>
      <c r="D8" s="4" t="s">
        <v>21</v>
      </c>
      <c r="E8" s="12" t="str">
        <f>VLOOKUP(F8,Department_dim!A$1:B$5,2,FALSE)</f>
        <v>D-102</v>
      </c>
      <c r="F8" s="10" t="s">
        <v>69</v>
      </c>
      <c r="G8" s="12" t="str">
        <f>VLOOKUP(H8,State_dim!A$1:B$5,2,0)</f>
        <v>S-104</v>
      </c>
      <c r="H8" t="s">
        <v>70</v>
      </c>
      <c r="I8" s="12" t="str">
        <f>VLOOKUP(J8,Payment_dim!A$1:B$6,2,0)</f>
        <v>P-105</v>
      </c>
      <c r="J8" s="10" t="s">
        <v>15</v>
      </c>
      <c r="K8" s="5">
        <v>6100</v>
      </c>
      <c r="L8" s="5">
        <v>544</v>
      </c>
      <c r="M8" s="9">
        <f t="shared" si="0"/>
        <v>8.9180327868852466E-2</v>
      </c>
    </row>
    <row r="9" spans="1:13" x14ac:dyDescent="0.25">
      <c r="A9" t="s">
        <v>130</v>
      </c>
      <c r="B9" s="2">
        <v>45077</v>
      </c>
      <c r="C9" s="11" t="str">
        <f>VLOOKUP(D9,Client_dim!$A$2:$B$29,2,0)</f>
        <v>C120</v>
      </c>
      <c r="D9" s="4" t="s">
        <v>22</v>
      </c>
      <c r="E9" s="12" t="str">
        <f>VLOOKUP(F9,Department_dim!A$1:B$5,2,FALSE)</f>
        <v>D-102</v>
      </c>
      <c r="F9" s="10" t="s">
        <v>69</v>
      </c>
      <c r="G9" s="12" t="str">
        <f>VLOOKUP(H9,State_dim!A$1:B$5,2,0)</f>
        <v>S-104</v>
      </c>
      <c r="H9" t="s">
        <v>70</v>
      </c>
      <c r="I9" s="12" t="str">
        <f>VLOOKUP(J9,Payment_dim!A$1:B$6,2,0)</f>
        <v>P-105</v>
      </c>
      <c r="J9" s="10" t="s">
        <v>15</v>
      </c>
      <c r="K9" s="5">
        <v>4625</v>
      </c>
      <c r="L9" s="5">
        <v>670</v>
      </c>
      <c r="M9" s="9">
        <f t="shared" si="0"/>
        <v>0.14486486486486486</v>
      </c>
    </row>
    <row r="10" spans="1:13" x14ac:dyDescent="0.25">
      <c r="A10" t="s">
        <v>131</v>
      </c>
      <c r="B10" s="2">
        <v>45077</v>
      </c>
      <c r="C10" s="11" t="str">
        <f>VLOOKUP(D10,Client_dim!$A$2:$B$29,2,0)</f>
        <v>C106</v>
      </c>
      <c r="D10" s="4" t="s">
        <v>23</v>
      </c>
      <c r="E10" s="12" t="str">
        <f>VLOOKUP(F10,Department_dim!A$1:B$5,2,FALSE)</f>
        <v>D-102</v>
      </c>
      <c r="F10" s="10" t="s">
        <v>69</v>
      </c>
      <c r="G10" s="12" t="str">
        <f>VLOOKUP(H10,State_dim!A$1:B$5,2,0)</f>
        <v>S-104</v>
      </c>
      <c r="H10" t="s">
        <v>70</v>
      </c>
      <c r="I10" s="12" t="str">
        <f>VLOOKUP(J10,Payment_dim!A$1:B$6,2,0)</f>
        <v>P-105</v>
      </c>
      <c r="J10" s="10" t="s">
        <v>15</v>
      </c>
      <c r="K10" s="5">
        <f>5039</f>
        <v>5039</v>
      </c>
      <c r="L10" s="5">
        <v>2045</v>
      </c>
      <c r="M10" s="9">
        <f t="shared" si="0"/>
        <v>0.40583449097043062</v>
      </c>
    </row>
    <row r="11" spans="1:13" x14ac:dyDescent="0.25">
      <c r="A11" t="s">
        <v>132</v>
      </c>
      <c r="B11" s="2">
        <v>45077</v>
      </c>
      <c r="C11" s="11" t="str">
        <f>VLOOKUP(D11,Client_dim!$A$2:$B$29,2,0)</f>
        <v>C103</v>
      </c>
      <c r="D11" s="4" t="s">
        <v>24</v>
      </c>
      <c r="E11" s="12" t="str">
        <f>VLOOKUP(F11,Department_dim!A$1:B$5,2,FALSE)</f>
        <v>D-102</v>
      </c>
      <c r="F11" s="10" t="s">
        <v>69</v>
      </c>
      <c r="G11" s="12" t="str">
        <f>VLOOKUP(H11,State_dim!A$1:B$5,2,0)</f>
        <v>S-104</v>
      </c>
      <c r="H11" t="s">
        <v>70</v>
      </c>
      <c r="I11" s="12" t="str">
        <f>VLOOKUP(J11,Payment_dim!A$1:B$6,2,0)</f>
        <v>P-101</v>
      </c>
      <c r="J11" s="10" t="s">
        <v>12</v>
      </c>
      <c r="K11" s="5">
        <v>3600</v>
      </c>
      <c r="L11" s="5">
        <v>1564</v>
      </c>
      <c r="M11" s="9">
        <f t="shared" si="0"/>
        <v>0.43444444444444447</v>
      </c>
    </row>
    <row r="12" spans="1:13" x14ac:dyDescent="0.25">
      <c r="A12" t="s">
        <v>133</v>
      </c>
      <c r="B12" s="2">
        <v>45077</v>
      </c>
      <c r="C12" s="11" t="str">
        <f>VLOOKUP(D12,Client_dim!$A$2:$B$29,2,0)</f>
        <v>C128</v>
      </c>
      <c r="D12" s="4" t="s">
        <v>25</v>
      </c>
      <c r="E12" s="12" t="str">
        <f>VLOOKUP(F12,Department_dim!A$1:B$5,2,FALSE)</f>
        <v>D-102</v>
      </c>
      <c r="F12" s="10" t="s">
        <v>69</v>
      </c>
      <c r="G12" s="12" t="str">
        <f>VLOOKUP(H12,State_dim!A$1:B$5,2,0)</f>
        <v>S-104</v>
      </c>
      <c r="H12" t="s">
        <v>70</v>
      </c>
      <c r="I12" s="12" t="str">
        <f>VLOOKUP(J12,Payment_dim!A$1:B$6,2,0)</f>
        <v>P-102</v>
      </c>
      <c r="J12" s="10" t="s">
        <v>14</v>
      </c>
      <c r="K12" s="5">
        <v>5100</v>
      </c>
      <c r="L12" s="5">
        <v>1220</v>
      </c>
      <c r="M12" s="9">
        <f t="shared" si="0"/>
        <v>0.23921568627450981</v>
      </c>
    </row>
    <row r="13" spans="1:13" x14ac:dyDescent="0.25">
      <c r="A13" t="s">
        <v>134</v>
      </c>
      <c r="B13" s="2">
        <v>45077</v>
      </c>
      <c r="C13" s="11" t="str">
        <f>VLOOKUP(D13,Client_dim!$A$2:$B$29,2,0)</f>
        <v>C122</v>
      </c>
      <c r="D13" s="4" t="s">
        <v>26</v>
      </c>
      <c r="E13" s="12" t="str">
        <f>VLOOKUP(F13,Department_dim!A$1:B$5,2,FALSE)</f>
        <v>D-102</v>
      </c>
      <c r="F13" s="10" t="s">
        <v>69</v>
      </c>
      <c r="G13" s="12" t="str">
        <f>VLOOKUP(H13,State_dim!A$1:B$5,2,0)</f>
        <v>S-104</v>
      </c>
      <c r="H13" t="s">
        <v>70</v>
      </c>
      <c r="I13" s="12" t="str">
        <f>VLOOKUP(J13,Payment_dim!A$1:B$6,2,0)</f>
        <v>P-102</v>
      </c>
      <c r="J13" s="10" t="s">
        <v>14</v>
      </c>
      <c r="K13" s="5">
        <v>4750</v>
      </c>
      <c r="L13" s="5">
        <v>1435</v>
      </c>
      <c r="M13" s="9">
        <f t="shared" si="0"/>
        <v>0.30210526315789471</v>
      </c>
    </row>
    <row r="14" spans="1:13" x14ac:dyDescent="0.25">
      <c r="A14" t="s">
        <v>135</v>
      </c>
      <c r="B14" s="2">
        <v>45077</v>
      </c>
      <c r="C14" s="11" t="str">
        <f>VLOOKUP(D14,Client_dim!$A$2:$B$29,2,0)</f>
        <v>C108</v>
      </c>
      <c r="D14" s="4" t="s">
        <v>27</v>
      </c>
      <c r="E14" s="12" t="str">
        <f>VLOOKUP(F14,Department_dim!A$1:B$5,2,FALSE)</f>
        <v>D-103</v>
      </c>
      <c r="F14" s="10" t="s">
        <v>73</v>
      </c>
      <c r="G14" s="12" t="str">
        <f>VLOOKUP(H14,State_dim!A$1:B$5,2,0)</f>
        <v>S-102</v>
      </c>
      <c r="H14" t="s">
        <v>74</v>
      </c>
      <c r="I14" s="12" t="str">
        <f>VLOOKUP(J14,Payment_dim!A$1:B$6,2,0)</f>
        <v>P-105</v>
      </c>
      <c r="J14" s="10" t="s">
        <v>15</v>
      </c>
      <c r="K14" s="5">
        <v>6000</v>
      </c>
      <c r="L14" s="5">
        <v>998</v>
      </c>
      <c r="M14" s="9">
        <f t="shared" si="0"/>
        <v>0.16633333333333333</v>
      </c>
    </row>
    <row r="15" spans="1:13" x14ac:dyDescent="0.25">
      <c r="A15" t="s">
        <v>136</v>
      </c>
      <c r="B15" s="2">
        <v>45077</v>
      </c>
      <c r="C15" s="11" t="str">
        <f>VLOOKUP(D15,Client_dim!$A$2:$B$29,2,0)</f>
        <v>C118</v>
      </c>
      <c r="D15" s="4" t="s">
        <v>28</v>
      </c>
      <c r="E15" s="12" t="str">
        <f>VLOOKUP(F15,Department_dim!A$1:B$5,2,FALSE)</f>
        <v>D-101</v>
      </c>
      <c r="F15" s="10" t="s">
        <v>75</v>
      </c>
      <c r="G15" s="12" t="str">
        <f>VLOOKUP(H15,State_dim!A$1:B$5,2,0)</f>
        <v>S-101</v>
      </c>
      <c r="H15" t="s">
        <v>76</v>
      </c>
      <c r="I15" s="12" t="str">
        <f>VLOOKUP(J15,Payment_dim!A$1:B$6,2,0)</f>
        <v>P-102</v>
      </c>
      <c r="J15" s="10" t="s">
        <v>14</v>
      </c>
      <c r="K15" s="5">
        <f>5039</f>
        <v>5039</v>
      </c>
      <c r="L15" s="5">
        <v>780</v>
      </c>
      <c r="M15" s="9">
        <f t="shared" si="0"/>
        <v>0.15479261758285373</v>
      </c>
    </row>
    <row r="16" spans="1:13" x14ac:dyDescent="0.25">
      <c r="A16" t="s">
        <v>137</v>
      </c>
      <c r="B16" s="2">
        <v>45078</v>
      </c>
      <c r="C16" s="11" t="str">
        <f>VLOOKUP(D16,Client_dim!$A$2:$B$29,2,0)</f>
        <v>C110</v>
      </c>
      <c r="D16" s="4" t="s">
        <v>29</v>
      </c>
      <c r="E16" s="12" t="str">
        <f>VLOOKUP(F16,Department_dim!A$1:B$5,2,FALSE)</f>
        <v>D-101</v>
      </c>
      <c r="F16" s="10" t="s">
        <v>75</v>
      </c>
      <c r="G16" s="12" t="str">
        <f>VLOOKUP(H16,State_dim!A$1:B$5,2,0)</f>
        <v>S-101</v>
      </c>
      <c r="H16" t="s">
        <v>76</v>
      </c>
      <c r="I16" s="12" t="str">
        <f>VLOOKUP(J16,Payment_dim!A$1:B$6,2,0)</f>
        <v>P-101</v>
      </c>
      <c r="J16" s="10" t="s">
        <v>12</v>
      </c>
      <c r="K16" s="5">
        <f>4994</f>
        <v>4994</v>
      </c>
      <c r="L16" s="5">
        <v>1044</v>
      </c>
      <c r="M16" s="9">
        <f t="shared" si="0"/>
        <v>0.20905086103323989</v>
      </c>
    </row>
    <row r="17" spans="1:13" x14ac:dyDescent="0.25">
      <c r="A17" t="s">
        <v>138</v>
      </c>
      <c r="B17" s="2">
        <v>45078</v>
      </c>
      <c r="C17" s="11" t="str">
        <f>VLOOKUP(D17,Client_dim!$A$2:$B$29,2,0)</f>
        <v>C127</v>
      </c>
      <c r="D17" s="4" t="s">
        <v>30</v>
      </c>
      <c r="E17" s="12" t="str">
        <f>VLOOKUP(F17,Department_dim!A$1:B$5,2,FALSE)</f>
        <v>D-101</v>
      </c>
      <c r="F17" s="10" t="s">
        <v>75</v>
      </c>
      <c r="G17" s="12" t="str">
        <f>VLOOKUP(H17,State_dim!A$1:B$5,2,0)</f>
        <v>S-101</v>
      </c>
      <c r="H17" t="s">
        <v>76</v>
      </c>
      <c r="I17" s="12" t="str">
        <f>VLOOKUP(J17,Payment_dim!A$1:B$6,2,0)</f>
        <v>P-105</v>
      </c>
      <c r="J17" s="10" t="s">
        <v>15</v>
      </c>
      <c r="K17" s="5">
        <v>3712.5</v>
      </c>
      <c r="L17" s="5">
        <v>1222</v>
      </c>
      <c r="M17" s="9">
        <f t="shared" si="0"/>
        <v>0.32915824915824915</v>
      </c>
    </row>
    <row r="18" spans="1:13" x14ac:dyDescent="0.25">
      <c r="A18" t="s">
        <v>139</v>
      </c>
      <c r="B18" s="2">
        <v>45078</v>
      </c>
      <c r="C18" s="11" t="str">
        <f>VLOOKUP(D18,Client_dim!$A$2:$B$29,2,0)</f>
        <v>C125</v>
      </c>
      <c r="D18" s="4" t="s">
        <v>31</v>
      </c>
      <c r="E18" s="12" t="str">
        <f>VLOOKUP(F18,Department_dim!A$1:B$5,2,FALSE)</f>
        <v>D-101</v>
      </c>
      <c r="F18" s="10" t="s">
        <v>75</v>
      </c>
      <c r="G18" s="12" t="str">
        <f>VLOOKUP(H18,State_dim!A$1:B$5,2,0)</f>
        <v>S-101</v>
      </c>
      <c r="H18" t="s">
        <v>76</v>
      </c>
      <c r="I18" s="12" t="str">
        <f>VLOOKUP(J18,Payment_dim!A$1:B$6,2,0)</f>
        <v>P-105</v>
      </c>
      <c r="J18" s="10" t="s">
        <v>15</v>
      </c>
      <c r="K18" s="5">
        <v>4950</v>
      </c>
      <c r="L18" s="5">
        <v>1065</v>
      </c>
      <c r="M18" s="9">
        <f t="shared" si="0"/>
        <v>0.21515151515151515</v>
      </c>
    </row>
    <row r="19" spans="1:13" x14ac:dyDescent="0.25">
      <c r="A19" t="s">
        <v>140</v>
      </c>
      <c r="B19" s="2">
        <v>45078</v>
      </c>
      <c r="C19" s="11" t="str">
        <f>VLOOKUP(D19,Client_dim!$A$2:$B$29,2,0)</f>
        <v>C105</v>
      </c>
      <c r="D19" s="4" t="s">
        <v>32</v>
      </c>
      <c r="E19" s="12" t="str">
        <f>VLOOKUP(F19,Department_dim!A$1:B$5,2,FALSE)</f>
        <v>D-103</v>
      </c>
      <c r="F19" s="10" t="s">
        <v>73</v>
      </c>
      <c r="G19" s="12" t="str">
        <f>VLOOKUP(H19,State_dim!A$1:B$5,2,0)</f>
        <v>S-102</v>
      </c>
      <c r="H19" t="s">
        <v>74</v>
      </c>
      <c r="I19" s="12" t="str">
        <f>VLOOKUP(J19,Payment_dim!A$1:B$6,2,0)</f>
        <v>P-105</v>
      </c>
      <c r="J19" s="10" t="s">
        <v>15</v>
      </c>
      <c r="K19" s="5">
        <v>4750</v>
      </c>
      <c r="L19" s="5">
        <v>810</v>
      </c>
      <c r="M19" s="9">
        <f t="shared" si="0"/>
        <v>0.17052631578947369</v>
      </c>
    </row>
    <row r="20" spans="1:13" x14ac:dyDescent="0.25">
      <c r="A20" t="s">
        <v>141</v>
      </c>
      <c r="B20" s="2">
        <v>45078</v>
      </c>
      <c r="C20" s="11" t="str">
        <f>VLOOKUP(D20,Client_dim!$A$2:$B$29,2,0)</f>
        <v>C104</v>
      </c>
      <c r="D20" s="4" t="s">
        <v>33</v>
      </c>
      <c r="E20" s="12" t="str">
        <f>VLOOKUP(F20,Department_dim!A$1:B$5,2,FALSE)</f>
        <v>D-103</v>
      </c>
      <c r="F20" s="10" t="s">
        <v>73</v>
      </c>
      <c r="G20" s="12" t="str">
        <f>VLOOKUP(H20,State_dim!A$1:B$5,2,0)</f>
        <v>S-102</v>
      </c>
      <c r="H20" t="s">
        <v>74</v>
      </c>
      <c r="I20" s="12" t="str">
        <f>VLOOKUP(J20,Payment_dim!A$1:B$6,2,0)</f>
        <v>P-105</v>
      </c>
      <c r="J20" s="10" t="s">
        <v>15</v>
      </c>
      <c r="K20" s="5">
        <v>7320</v>
      </c>
      <c r="L20" s="5">
        <v>933</v>
      </c>
      <c r="M20" s="9">
        <f t="shared" si="0"/>
        <v>0.12745901639344262</v>
      </c>
    </row>
    <row r="21" spans="1:13" x14ac:dyDescent="0.25">
      <c r="A21" t="s">
        <v>142</v>
      </c>
      <c r="B21" s="2">
        <v>45078</v>
      </c>
      <c r="C21" s="11" t="str">
        <f>VLOOKUP(D21,Client_dim!$A$2:$B$29,2,0)</f>
        <v>C102</v>
      </c>
      <c r="D21" s="4" t="s">
        <v>34</v>
      </c>
      <c r="E21" s="12" t="str">
        <f>VLOOKUP(F21,Department_dim!A$1:B$5,2,FALSE)</f>
        <v>D-101</v>
      </c>
      <c r="F21" s="10" t="s">
        <v>75</v>
      </c>
      <c r="G21" s="12" t="str">
        <f>VLOOKUP(H21,State_dim!A$1:B$5,2,0)</f>
        <v>S-101</v>
      </c>
      <c r="H21" t="s">
        <v>76</v>
      </c>
      <c r="I21" s="12" t="str">
        <f>VLOOKUP(J21,Payment_dim!A$1:B$6,2,0)</f>
        <v>P-105</v>
      </c>
      <c r="J21" s="10" t="s">
        <v>15</v>
      </c>
      <c r="K21" s="5">
        <v>5087.5</v>
      </c>
      <c r="L21" s="5">
        <v>655</v>
      </c>
      <c r="M21" s="9">
        <f t="shared" si="0"/>
        <v>0.12874692874692875</v>
      </c>
    </row>
    <row r="22" spans="1:13" x14ac:dyDescent="0.25">
      <c r="A22" t="s">
        <v>143</v>
      </c>
      <c r="B22" s="2">
        <v>45078</v>
      </c>
      <c r="C22" s="11" t="str">
        <f>VLOOKUP(D22,Client_dim!$A$2:$B$29,2,0)</f>
        <v>C114</v>
      </c>
      <c r="D22" s="4" t="s">
        <v>35</v>
      </c>
      <c r="E22" s="12" t="str">
        <f>VLOOKUP(F22,Department_dim!A$1:B$5,2,FALSE)</f>
        <v>D-101</v>
      </c>
      <c r="F22" s="10" t="s">
        <v>75</v>
      </c>
      <c r="G22" s="12" t="str">
        <f>VLOOKUP(H22,State_dim!A$1:B$5,2,0)</f>
        <v>S-101</v>
      </c>
      <c r="H22" t="s">
        <v>76</v>
      </c>
      <c r="I22" s="12" t="str">
        <f>VLOOKUP(J22,Payment_dim!A$1:B$6,2,0)</f>
        <v>P-105</v>
      </c>
      <c r="J22" s="10" t="s">
        <v>15</v>
      </c>
      <c r="K22" s="5">
        <v>4500</v>
      </c>
      <c r="L22" s="5">
        <v>722</v>
      </c>
      <c r="M22" s="9">
        <f t="shared" si="0"/>
        <v>0.16044444444444445</v>
      </c>
    </row>
    <row r="23" spans="1:13" x14ac:dyDescent="0.25">
      <c r="A23" t="s">
        <v>144</v>
      </c>
      <c r="B23" s="2">
        <v>45078</v>
      </c>
      <c r="C23" s="11" t="str">
        <f>VLOOKUP(D23,Client_dim!$A$2:$B$29,2,0)</f>
        <v>C113</v>
      </c>
      <c r="D23" s="4" t="s">
        <v>36</v>
      </c>
      <c r="E23" s="12" t="str">
        <f>VLOOKUP(F23,Department_dim!A$1:B$5,2,FALSE)</f>
        <v>D-101</v>
      </c>
      <c r="F23" s="10" t="s">
        <v>75</v>
      </c>
      <c r="G23" s="12" t="str">
        <f>VLOOKUP(H23,State_dim!A$1:B$5,2,0)</f>
        <v>S-101</v>
      </c>
      <c r="H23" t="s">
        <v>76</v>
      </c>
      <c r="I23" s="12" t="str">
        <f>VLOOKUP(J23,Payment_dim!A$1:B$6,2,0)</f>
        <v>P-101</v>
      </c>
      <c r="J23" s="10" t="s">
        <v>12</v>
      </c>
      <c r="K23" s="5">
        <v>4250</v>
      </c>
      <c r="L23" s="5">
        <v>901</v>
      </c>
      <c r="M23" s="9">
        <f t="shared" si="0"/>
        <v>0.21199999999999999</v>
      </c>
    </row>
    <row r="24" spans="1:13" x14ac:dyDescent="0.25">
      <c r="A24" t="s">
        <v>145</v>
      </c>
      <c r="B24" s="2">
        <v>45079</v>
      </c>
      <c r="C24" s="11" t="str">
        <f>VLOOKUP(D24,Client_dim!$A$2:$B$29,2,0)</f>
        <v>C119</v>
      </c>
      <c r="D24" s="4" t="s">
        <v>37</v>
      </c>
      <c r="E24" s="12" t="str">
        <f>VLOOKUP(F24,Department_dim!A$1:B$5,2,FALSE)</f>
        <v>D-101</v>
      </c>
      <c r="F24" s="10" t="s">
        <v>75</v>
      </c>
      <c r="G24" s="12" t="str">
        <f>VLOOKUP(H24,State_dim!A$1:B$5,2,0)</f>
        <v>S-101</v>
      </c>
      <c r="H24" t="s">
        <v>76</v>
      </c>
      <c r="I24" s="12" t="str">
        <f>VLOOKUP(J24,Payment_dim!A$1:B$6,2,0)</f>
        <v>P-104</v>
      </c>
      <c r="J24" s="10" t="s">
        <v>13</v>
      </c>
      <c r="K24" s="5">
        <v>5250</v>
      </c>
      <c r="L24" s="5">
        <v>1349</v>
      </c>
      <c r="M24" s="9">
        <f t="shared" si="0"/>
        <v>0.25695238095238093</v>
      </c>
    </row>
    <row r="25" spans="1:13" x14ac:dyDescent="0.25">
      <c r="A25" t="s">
        <v>146</v>
      </c>
      <c r="B25" s="2">
        <v>45079</v>
      </c>
      <c r="C25" s="11" t="str">
        <f>VLOOKUP(D25,Client_dim!$A$2:$B$29,2,0)</f>
        <v>C107</v>
      </c>
      <c r="D25" s="4" t="s">
        <v>38</v>
      </c>
      <c r="E25" s="12" t="str">
        <f>VLOOKUP(F25,Department_dim!A$1:B$5,2,FALSE)</f>
        <v>D-104</v>
      </c>
      <c r="F25" s="10" t="s">
        <v>71</v>
      </c>
      <c r="G25" s="12" t="str">
        <f>VLOOKUP(H25,State_dim!A$1:B$5,2,0)</f>
        <v>S-103</v>
      </c>
      <c r="H25" t="s">
        <v>72</v>
      </c>
      <c r="I25" s="12" t="str">
        <f>VLOOKUP(J25,Payment_dim!A$1:B$6,2,0)</f>
        <v>P-104</v>
      </c>
      <c r="J25" s="10" t="s">
        <v>13</v>
      </c>
      <c r="K25" s="5">
        <v>6500</v>
      </c>
      <c r="L25" s="5">
        <v>1288</v>
      </c>
      <c r="M25" s="9">
        <f t="shared" si="0"/>
        <v>0.19815384615384615</v>
      </c>
    </row>
    <row r="26" spans="1:13" x14ac:dyDescent="0.25">
      <c r="A26" t="s">
        <v>147</v>
      </c>
      <c r="B26" s="2">
        <v>45079</v>
      </c>
      <c r="C26" s="11" t="str">
        <f>VLOOKUP(D26,Client_dim!$A$2:$B$29,2,0)</f>
        <v>C109</v>
      </c>
      <c r="D26" s="4" t="s">
        <v>39</v>
      </c>
      <c r="E26" s="12" t="str">
        <f>VLOOKUP(F26,Department_dim!A$1:B$5,2,FALSE)</f>
        <v>D-104</v>
      </c>
      <c r="F26" s="10" t="s">
        <v>71</v>
      </c>
      <c r="G26" s="12" t="str">
        <f>VLOOKUP(H26,State_dim!A$1:B$5,2,0)</f>
        <v>S-103</v>
      </c>
      <c r="H26" t="s">
        <v>72</v>
      </c>
      <c r="I26" s="12" t="str">
        <f>VLOOKUP(J26,Payment_dim!A$1:B$6,2,0)</f>
        <v>P-104</v>
      </c>
      <c r="J26" s="10" t="s">
        <v>13</v>
      </c>
      <c r="K26" s="5">
        <v>7500</v>
      </c>
      <c r="L26" s="5">
        <v>1664</v>
      </c>
      <c r="M26" s="9">
        <f t="shared" si="0"/>
        <v>0.22186666666666666</v>
      </c>
    </row>
    <row r="27" spans="1:13" x14ac:dyDescent="0.25">
      <c r="A27" t="s">
        <v>148</v>
      </c>
      <c r="B27" s="2">
        <v>45079</v>
      </c>
      <c r="C27" s="11" t="str">
        <f>VLOOKUP(D27,Client_dim!$A$2:$B$29,2,0)</f>
        <v>C115</v>
      </c>
      <c r="D27" s="4" t="s">
        <v>40</v>
      </c>
      <c r="E27" s="12" t="str">
        <f>VLOOKUP(F27,Department_dim!A$1:B$5,2,FALSE)</f>
        <v>D-104</v>
      </c>
      <c r="F27" s="10" t="s">
        <v>71</v>
      </c>
      <c r="G27" s="12" t="str">
        <f>VLOOKUP(H27,State_dim!A$1:B$5,2,0)</f>
        <v>S-103</v>
      </c>
      <c r="H27" t="s">
        <v>72</v>
      </c>
      <c r="I27" s="12" t="str">
        <f>VLOOKUP(J27,Payment_dim!A$1:B$6,2,0)</f>
        <v>P-105</v>
      </c>
      <c r="J27" s="10" t="s">
        <v>15</v>
      </c>
      <c r="K27" s="5">
        <v>5500</v>
      </c>
      <c r="L27" s="5">
        <v>1320</v>
      </c>
      <c r="M27" s="9">
        <f t="shared" si="0"/>
        <v>0.24</v>
      </c>
    </row>
    <row r="28" spans="1:13" x14ac:dyDescent="0.25">
      <c r="A28" t="s">
        <v>149</v>
      </c>
      <c r="B28" s="2">
        <v>45079</v>
      </c>
      <c r="C28" s="11" t="str">
        <f>VLOOKUP(D28,Client_dim!$A$2:$B$29,2,0)</f>
        <v>C111</v>
      </c>
      <c r="D28" s="4" t="s">
        <v>41</v>
      </c>
      <c r="E28" s="12" t="str">
        <f>VLOOKUP(F28,Department_dim!A$1:B$5,2,FALSE)</f>
        <v>D-104</v>
      </c>
      <c r="F28" s="10" t="s">
        <v>71</v>
      </c>
      <c r="G28" s="12" t="str">
        <f>VLOOKUP(H28,State_dim!A$1:B$5,2,0)</f>
        <v>S-103</v>
      </c>
      <c r="H28" t="s">
        <v>72</v>
      </c>
      <c r="I28" s="12" t="str">
        <f>VLOOKUP(J28,Payment_dim!A$1:B$6,2,0)</f>
        <v>P-105</v>
      </c>
      <c r="J28" s="10" t="s">
        <v>15</v>
      </c>
      <c r="K28" s="5">
        <v>4625</v>
      </c>
      <c r="L28" s="5">
        <v>1001</v>
      </c>
      <c r="M28" s="9">
        <f t="shared" si="0"/>
        <v>0.21643243243243243</v>
      </c>
    </row>
    <row r="29" spans="1:13" x14ac:dyDescent="0.25">
      <c r="A29" t="s">
        <v>150</v>
      </c>
      <c r="B29" s="2">
        <v>45079</v>
      </c>
      <c r="C29" s="11" t="str">
        <f>VLOOKUP(D29,Client_dim!$A$2:$B$29,2,0)</f>
        <v>C112</v>
      </c>
      <c r="D29" s="4" t="s">
        <v>42</v>
      </c>
      <c r="E29" s="12" t="str">
        <f>VLOOKUP(F29,Department_dim!A$1:B$5,2,FALSE)</f>
        <v>D-104</v>
      </c>
      <c r="F29" s="10" t="s">
        <v>71</v>
      </c>
      <c r="G29" s="12" t="str">
        <f>VLOOKUP(H29,State_dim!A$1:B$5,2,0)</f>
        <v>S-103</v>
      </c>
      <c r="H29" t="s">
        <v>72</v>
      </c>
      <c r="I29" s="12" t="str">
        <f>VLOOKUP(J29,Payment_dim!A$1:B$6,2,0)</f>
        <v>P-105</v>
      </c>
      <c r="J29" s="10" t="s">
        <v>15</v>
      </c>
      <c r="K29" s="5">
        <v>4500</v>
      </c>
      <c r="L29" s="5">
        <v>960</v>
      </c>
      <c r="M29" s="9">
        <f t="shared" si="0"/>
        <v>0.21333333333333335</v>
      </c>
    </row>
    <row r="30" spans="1:13" x14ac:dyDescent="0.25">
      <c r="A30" t="s">
        <v>151</v>
      </c>
      <c r="B30" s="2">
        <v>45079</v>
      </c>
      <c r="C30" s="11" t="str">
        <f>VLOOKUP(D30,Client_dim!$A$2:$B$29,2,0)</f>
        <v>C117</v>
      </c>
      <c r="D30" s="4" t="s">
        <v>43</v>
      </c>
      <c r="E30" s="12" t="str">
        <f>VLOOKUP(F30,Department_dim!A$1:B$5,2,FALSE)</f>
        <v>D-104</v>
      </c>
      <c r="F30" s="10" t="s">
        <v>71</v>
      </c>
      <c r="G30" s="12" t="str">
        <f>VLOOKUP(H30,State_dim!A$1:B$5,2,0)</f>
        <v>S-103</v>
      </c>
      <c r="H30" t="s">
        <v>72</v>
      </c>
      <c r="I30" s="12" t="str">
        <f>VLOOKUP(J30,Payment_dim!A$1:B$6,2,0)</f>
        <v>P-101</v>
      </c>
      <c r="J30" s="10" t="s">
        <v>12</v>
      </c>
      <c r="K30" s="5">
        <v>5400</v>
      </c>
      <c r="L30" s="5">
        <v>540</v>
      </c>
      <c r="M30" s="9">
        <f t="shared" si="0"/>
        <v>0.1</v>
      </c>
    </row>
    <row r="31" spans="1:13" x14ac:dyDescent="0.25">
      <c r="K31" s="1"/>
    </row>
  </sheetData>
  <mergeCells count="1">
    <mergeCell ref="B1:M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Normal="100" workbookViewId="0">
      <selection activeCell="D36" sqref="D36"/>
    </sheetView>
  </sheetViews>
  <sheetFormatPr defaultColWidth="11" defaultRowHeight="15.75" x14ac:dyDescent="0.25"/>
  <cols>
    <col min="1" max="1" width="10.375" customWidth="1"/>
    <col min="2" max="2" width="10.5" bestFit="1" customWidth="1"/>
    <col min="3" max="3" width="43.125" customWidth="1"/>
    <col min="4" max="4" width="28.625" customWidth="1"/>
    <col min="5" max="5" width="16.875" bestFit="1" customWidth="1"/>
    <col min="6" max="6" width="16.875" customWidth="1"/>
    <col min="7" max="7" width="11.125" customWidth="1"/>
    <col min="8" max="8" width="11.625" customWidth="1"/>
    <col min="9" max="9" width="9.625" customWidth="1"/>
    <col min="10" max="10" width="16" customWidth="1"/>
  </cols>
  <sheetData>
    <row r="1" spans="1:10" x14ac:dyDescent="0.25">
      <c r="A1" s="14" t="s">
        <v>78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3" t="s">
        <v>153</v>
      </c>
      <c r="B2" s="3" t="s">
        <v>0</v>
      </c>
      <c r="C2" s="3" t="s">
        <v>4</v>
      </c>
      <c r="D2" s="3" t="s">
        <v>44</v>
      </c>
      <c r="E2" s="3" t="s">
        <v>5</v>
      </c>
      <c r="F2" s="3" t="s">
        <v>68</v>
      </c>
      <c r="G2" s="3" t="s">
        <v>11</v>
      </c>
      <c r="H2" s="3" t="s">
        <v>1</v>
      </c>
      <c r="I2" s="3" t="s">
        <v>2</v>
      </c>
      <c r="J2" s="3" t="s">
        <v>3</v>
      </c>
    </row>
    <row r="3" spans="1:10" x14ac:dyDescent="0.25">
      <c r="A3" t="s">
        <v>124</v>
      </c>
      <c r="B3" s="2">
        <v>45076</v>
      </c>
      <c r="C3" s="4" t="s">
        <v>16</v>
      </c>
      <c r="D3" t="s">
        <v>45</v>
      </c>
      <c r="E3" t="s">
        <v>69</v>
      </c>
      <c r="F3" t="s">
        <v>70</v>
      </c>
      <c r="G3" t="s">
        <v>15</v>
      </c>
      <c r="H3" s="5">
        <v>4500</v>
      </c>
      <c r="I3" s="5">
        <v>598</v>
      </c>
      <c r="J3" s="6">
        <f t="shared" ref="J3:J30" si="0">IFERROR(I3/H3,0)</f>
        <v>0.13288888888888889</v>
      </c>
    </row>
    <row r="4" spans="1:10" x14ac:dyDescent="0.25">
      <c r="A4" t="s">
        <v>125</v>
      </c>
      <c r="B4" s="2">
        <v>45076</v>
      </c>
      <c r="C4" s="4" t="s">
        <v>17</v>
      </c>
      <c r="D4" t="s">
        <v>46</v>
      </c>
      <c r="E4" t="s">
        <v>71</v>
      </c>
      <c r="F4" t="s">
        <v>72</v>
      </c>
      <c r="G4" t="s">
        <v>13</v>
      </c>
      <c r="H4" s="5">
        <v>3800</v>
      </c>
      <c r="I4" s="5">
        <v>1045</v>
      </c>
      <c r="J4" s="6">
        <f t="shared" si="0"/>
        <v>0.27500000000000002</v>
      </c>
    </row>
    <row r="5" spans="1:10" x14ac:dyDescent="0.25">
      <c r="A5" t="s">
        <v>126</v>
      </c>
      <c r="B5" s="2">
        <v>45076</v>
      </c>
      <c r="C5" s="4" t="s">
        <v>18</v>
      </c>
      <c r="D5" t="s">
        <v>47</v>
      </c>
      <c r="E5" t="s">
        <v>71</v>
      </c>
      <c r="F5" t="s">
        <v>72</v>
      </c>
      <c r="G5" t="s">
        <v>77</v>
      </c>
      <c r="H5" s="5">
        <v>3712.5</v>
      </c>
      <c r="I5" s="5">
        <v>1009</v>
      </c>
      <c r="J5" s="6">
        <f t="shared" si="0"/>
        <v>0.2717845117845118</v>
      </c>
    </row>
    <row r="6" spans="1:10" x14ac:dyDescent="0.25">
      <c r="A6" t="s">
        <v>127</v>
      </c>
      <c r="B6" s="2">
        <v>45076</v>
      </c>
      <c r="C6" s="4" t="s">
        <v>19</v>
      </c>
      <c r="D6" t="s">
        <v>6</v>
      </c>
      <c r="E6" t="s">
        <v>73</v>
      </c>
      <c r="F6" t="s">
        <v>74</v>
      </c>
      <c r="G6" t="s">
        <v>77</v>
      </c>
      <c r="H6" s="5">
        <f>4994</f>
        <v>4994</v>
      </c>
      <c r="I6" s="5">
        <v>779</v>
      </c>
      <c r="J6" s="6">
        <f t="shared" si="0"/>
        <v>0.15598718462154584</v>
      </c>
    </row>
    <row r="7" spans="1:10" x14ac:dyDescent="0.25">
      <c r="A7" t="s">
        <v>128</v>
      </c>
      <c r="B7" s="2">
        <v>45076</v>
      </c>
      <c r="C7" s="4" t="s">
        <v>20</v>
      </c>
      <c r="D7" t="s">
        <v>48</v>
      </c>
      <c r="E7" t="s">
        <v>73</v>
      </c>
      <c r="F7" t="s">
        <v>74</v>
      </c>
      <c r="G7" t="s">
        <v>14</v>
      </c>
      <c r="H7" s="5">
        <v>5000</v>
      </c>
      <c r="I7" s="5">
        <v>684</v>
      </c>
      <c r="J7" s="6">
        <f t="shared" si="0"/>
        <v>0.1368</v>
      </c>
    </row>
    <row r="8" spans="1:10" x14ac:dyDescent="0.25">
      <c r="A8" t="s">
        <v>129</v>
      </c>
      <c r="B8" s="2">
        <v>45077</v>
      </c>
      <c r="C8" s="4" t="s">
        <v>21</v>
      </c>
      <c r="D8" t="s">
        <v>49</v>
      </c>
      <c r="E8" t="s">
        <v>69</v>
      </c>
      <c r="F8" t="s">
        <v>70</v>
      </c>
      <c r="G8" t="s">
        <v>15</v>
      </c>
      <c r="H8" s="5">
        <v>6100</v>
      </c>
      <c r="I8" s="5">
        <v>544</v>
      </c>
      <c r="J8" s="6">
        <f t="shared" si="0"/>
        <v>8.9180327868852466E-2</v>
      </c>
    </row>
    <row r="9" spans="1:10" x14ac:dyDescent="0.25">
      <c r="A9" t="s">
        <v>130</v>
      </c>
      <c r="B9" s="2">
        <v>45077</v>
      </c>
      <c r="C9" s="4" t="s">
        <v>22</v>
      </c>
      <c r="D9" t="s">
        <v>50</v>
      </c>
      <c r="E9" t="s">
        <v>69</v>
      </c>
      <c r="F9" t="s">
        <v>70</v>
      </c>
      <c r="G9" t="s">
        <v>15</v>
      </c>
      <c r="H9" s="5">
        <v>4625</v>
      </c>
      <c r="I9" s="5">
        <v>670</v>
      </c>
      <c r="J9" s="6">
        <f t="shared" si="0"/>
        <v>0.14486486486486486</v>
      </c>
    </row>
    <row r="10" spans="1:10" x14ac:dyDescent="0.25">
      <c r="A10" t="s">
        <v>131</v>
      </c>
      <c r="B10" s="2">
        <v>45077</v>
      </c>
      <c r="C10" s="4" t="s">
        <v>23</v>
      </c>
      <c r="D10" t="s">
        <v>51</v>
      </c>
      <c r="E10" t="s">
        <v>69</v>
      </c>
      <c r="F10" t="s">
        <v>70</v>
      </c>
      <c r="G10" t="s">
        <v>15</v>
      </c>
      <c r="H10" s="5">
        <f>5039</f>
        <v>5039</v>
      </c>
      <c r="I10" s="5">
        <v>2045</v>
      </c>
      <c r="J10" s="6">
        <f t="shared" si="0"/>
        <v>0.40583449097043062</v>
      </c>
    </row>
    <row r="11" spans="1:10" x14ac:dyDescent="0.25">
      <c r="A11" t="s">
        <v>132</v>
      </c>
      <c r="B11" s="2">
        <v>45077</v>
      </c>
      <c r="C11" s="4" t="s">
        <v>24</v>
      </c>
      <c r="D11" t="s">
        <v>7</v>
      </c>
      <c r="E11" t="s">
        <v>69</v>
      </c>
      <c r="F11" t="s">
        <v>70</v>
      </c>
      <c r="G11" t="s">
        <v>12</v>
      </c>
      <c r="H11" s="5">
        <v>3600</v>
      </c>
      <c r="I11" s="5">
        <v>1564</v>
      </c>
      <c r="J11" s="6">
        <f t="shared" si="0"/>
        <v>0.43444444444444447</v>
      </c>
    </row>
    <row r="12" spans="1:10" x14ac:dyDescent="0.25">
      <c r="A12" t="s">
        <v>133</v>
      </c>
      <c r="B12" s="2">
        <v>45077</v>
      </c>
      <c r="C12" s="4" t="s">
        <v>25</v>
      </c>
      <c r="D12" t="s">
        <v>8</v>
      </c>
      <c r="E12" t="s">
        <v>69</v>
      </c>
      <c r="F12" t="s">
        <v>70</v>
      </c>
      <c r="G12" t="s">
        <v>14</v>
      </c>
      <c r="H12" s="5">
        <v>5100</v>
      </c>
      <c r="I12" s="5">
        <v>1220</v>
      </c>
      <c r="J12" s="6">
        <f t="shared" si="0"/>
        <v>0.23921568627450981</v>
      </c>
    </row>
    <row r="13" spans="1:10" x14ac:dyDescent="0.25">
      <c r="A13" t="s">
        <v>134</v>
      </c>
      <c r="B13" s="2">
        <v>45077</v>
      </c>
      <c r="C13" s="4" t="s">
        <v>26</v>
      </c>
      <c r="D13" t="s">
        <v>52</v>
      </c>
      <c r="E13" t="s">
        <v>69</v>
      </c>
      <c r="F13" t="s">
        <v>70</v>
      </c>
      <c r="G13" t="s">
        <v>14</v>
      </c>
      <c r="H13" s="5">
        <v>4750</v>
      </c>
      <c r="I13" s="5">
        <v>1435</v>
      </c>
      <c r="J13" s="6">
        <f t="shared" si="0"/>
        <v>0.30210526315789471</v>
      </c>
    </row>
    <row r="14" spans="1:10" x14ac:dyDescent="0.25">
      <c r="A14" t="s">
        <v>135</v>
      </c>
      <c r="B14" s="2">
        <v>45077</v>
      </c>
      <c r="C14" s="4" t="s">
        <v>27</v>
      </c>
      <c r="D14" t="s">
        <v>53</v>
      </c>
      <c r="E14" t="s">
        <v>73</v>
      </c>
      <c r="F14" t="s">
        <v>74</v>
      </c>
      <c r="G14" t="s">
        <v>15</v>
      </c>
      <c r="H14" s="5">
        <v>6000</v>
      </c>
      <c r="I14" s="5">
        <v>998</v>
      </c>
      <c r="J14" s="6">
        <f t="shared" si="0"/>
        <v>0.16633333333333333</v>
      </c>
    </row>
    <row r="15" spans="1:10" x14ac:dyDescent="0.25">
      <c r="A15" t="s">
        <v>136</v>
      </c>
      <c r="B15" s="2">
        <v>45077</v>
      </c>
      <c r="C15" s="4" t="s">
        <v>28</v>
      </c>
      <c r="D15" t="s">
        <v>54</v>
      </c>
      <c r="E15" t="s">
        <v>75</v>
      </c>
      <c r="F15" t="s">
        <v>76</v>
      </c>
      <c r="G15" t="s">
        <v>14</v>
      </c>
      <c r="H15" s="5">
        <f>5039</f>
        <v>5039</v>
      </c>
      <c r="I15" s="5">
        <v>780</v>
      </c>
      <c r="J15" s="6">
        <f t="shared" si="0"/>
        <v>0.15479261758285373</v>
      </c>
    </row>
    <row r="16" spans="1:10" x14ac:dyDescent="0.25">
      <c r="A16" t="s">
        <v>137</v>
      </c>
      <c r="B16" s="2">
        <v>45078</v>
      </c>
      <c r="C16" s="4" t="s">
        <v>29</v>
      </c>
      <c r="D16" t="s">
        <v>9</v>
      </c>
      <c r="E16" t="s">
        <v>75</v>
      </c>
      <c r="F16" t="s">
        <v>76</v>
      </c>
      <c r="G16" t="s">
        <v>12</v>
      </c>
      <c r="H16" s="5">
        <f>4994</f>
        <v>4994</v>
      </c>
      <c r="I16" s="5">
        <v>1044</v>
      </c>
      <c r="J16" s="6">
        <f t="shared" si="0"/>
        <v>0.20905086103323989</v>
      </c>
    </row>
    <row r="17" spans="1:10" x14ac:dyDescent="0.25">
      <c r="A17" t="s">
        <v>138</v>
      </c>
      <c r="B17" s="2">
        <v>45078</v>
      </c>
      <c r="C17" s="4" t="s">
        <v>30</v>
      </c>
      <c r="D17" t="s">
        <v>55</v>
      </c>
      <c r="E17" t="s">
        <v>75</v>
      </c>
      <c r="F17" t="s">
        <v>76</v>
      </c>
      <c r="G17" t="s">
        <v>15</v>
      </c>
      <c r="H17" s="5">
        <v>3712.5</v>
      </c>
      <c r="I17" s="5">
        <v>1222</v>
      </c>
      <c r="J17" s="6">
        <f t="shared" si="0"/>
        <v>0.32915824915824915</v>
      </c>
    </row>
    <row r="18" spans="1:10" x14ac:dyDescent="0.25">
      <c r="A18" t="s">
        <v>139</v>
      </c>
      <c r="B18" s="2">
        <v>45078</v>
      </c>
      <c r="C18" s="4" t="s">
        <v>31</v>
      </c>
      <c r="D18" t="s">
        <v>56</v>
      </c>
      <c r="E18" t="s">
        <v>75</v>
      </c>
      <c r="F18" t="s">
        <v>76</v>
      </c>
      <c r="G18" t="s">
        <v>15</v>
      </c>
      <c r="H18" s="5">
        <v>4950</v>
      </c>
      <c r="I18" s="5">
        <v>1065</v>
      </c>
      <c r="J18" s="6">
        <f t="shared" si="0"/>
        <v>0.21515151515151515</v>
      </c>
    </row>
    <row r="19" spans="1:10" x14ac:dyDescent="0.25">
      <c r="A19" t="s">
        <v>140</v>
      </c>
      <c r="B19" s="2">
        <v>45078</v>
      </c>
      <c r="C19" s="4" t="s">
        <v>32</v>
      </c>
      <c r="D19" t="s">
        <v>57</v>
      </c>
      <c r="E19" t="s">
        <v>73</v>
      </c>
      <c r="F19" t="s">
        <v>74</v>
      </c>
      <c r="G19" t="s">
        <v>15</v>
      </c>
      <c r="H19" s="5">
        <v>4750</v>
      </c>
      <c r="I19" s="5">
        <v>810</v>
      </c>
      <c r="J19" s="6">
        <f t="shared" si="0"/>
        <v>0.17052631578947369</v>
      </c>
    </row>
    <row r="20" spans="1:10" x14ac:dyDescent="0.25">
      <c r="A20" t="s">
        <v>141</v>
      </c>
      <c r="B20" s="2">
        <v>45078</v>
      </c>
      <c r="C20" s="4" t="s">
        <v>33</v>
      </c>
      <c r="D20" t="s">
        <v>58</v>
      </c>
      <c r="E20" t="s">
        <v>73</v>
      </c>
      <c r="F20" t="s">
        <v>74</v>
      </c>
      <c r="G20" t="s">
        <v>15</v>
      </c>
      <c r="H20" s="5">
        <v>7320</v>
      </c>
      <c r="I20" s="5">
        <v>933</v>
      </c>
      <c r="J20" s="6">
        <f t="shared" si="0"/>
        <v>0.12745901639344262</v>
      </c>
    </row>
    <row r="21" spans="1:10" x14ac:dyDescent="0.25">
      <c r="A21" t="s">
        <v>142</v>
      </c>
      <c r="B21" s="2">
        <v>45078</v>
      </c>
      <c r="C21" s="4" t="s">
        <v>34</v>
      </c>
      <c r="D21" t="s">
        <v>59</v>
      </c>
      <c r="E21" t="s">
        <v>75</v>
      </c>
      <c r="F21" t="s">
        <v>76</v>
      </c>
      <c r="G21" t="s">
        <v>15</v>
      </c>
      <c r="H21" s="5">
        <v>5087.5</v>
      </c>
      <c r="I21" s="5">
        <v>655</v>
      </c>
      <c r="J21" s="6">
        <f t="shared" si="0"/>
        <v>0.12874692874692875</v>
      </c>
    </row>
    <row r="22" spans="1:10" x14ac:dyDescent="0.25">
      <c r="A22" t="s">
        <v>143</v>
      </c>
      <c r="B22" s="2">
        <v>45078</v>
      </c>
      <c r="C22" s="4" t="s">
        <v>35</v>
      </c>
      <c r="D22" t="s">
        <v>60</v>
      </c>
      <c r="E22" t="s">
        <v>75</v>
      </c>
      <c r="F22" t="s">
        <v>76</v>
      </c>
      <c r="G22" t="s">
        <v>15</v>
      </c>
      <c r="H22" s="5">
        <v>4500</v>
      </c>
      <c r="I22" s="5">
        <v>722</v>
      </c>
      <c r="J22" s="6">
        <f t="shared" si="0"/>
        <v>0.16044444444444445</v>
      </c>
    </row>
    <row r="23" spans="1:10" x14ac:dyDescent="0.25">
      <c r="A23" t="s">
        <v>144</v>
      </c>
      <c r="B23" s="2">
        <v>45078</v>
      </c>
      <c r="C23" s="4" t="s">
        <v>36</v>
      </c>
      <c r="D23" t="s">
        <v>61</v>
      </c>
      <c r="E23" t="s">
        <v>75</v>
      </c>
      <c r="F23" t="s">
        <v>76</v>
      </c>
      <c r="G23" t="s">
        <v>12</v>
      </c>
      <c r="H23" s="5">
        <v>4250</v>
      </c>
      <c r="I23" s="5">
        <v>901</v>
      </c>
      <c r="J23" s="6">
        <f t="shared" si="0"/>
        <v>0.21199999999999999</v>
      </c>
    </row>
    <row r="24" spans="1:10" x14ac:dyDescent="0.25">
      <c r="A24" t="s">
        <v>145</v>
      </c>
      <c r="B24" s="2">
        <v>45079</v>
      </c>
      <c r="C24" s="4" t="s">
        <v>37</v>
      </c>
      <c r="D24" t="s">
        <v>62</v>
      </c>
      <c r="E24" t="s">
        <v>75</v>
      </c>
      <c r="F24" t="s">
        <v>76</v>
      </c>
      <c r="G24" t="s">
        <v>13</v>
      </c>
      <c r="H24" s="5">
        <v>5250</v>
      </c>
      <c r="I24" s="5">
        <v>1349</v>
      </c>
      <c r="J24" s="6">
        <f t="shared" si="0"/>
        <v>0.25695238095238093</v>
      </c>
    </row>
    <row r="25" spans="1:10" x14ac:dyDescent="0.25">
      <c r="A25" t="s">
        <v>146</v>
      </c>
      <c r="B25" s="2">
        <v>45079</v>
      </c>
      <c r="C25" s="4" t="s">
        <v>38</v>
      </c>
      <c r="D25" t="s">
        <v>63</v>
      </c>
      <c r="E25" t="s">
        <v>71</v>
      </c>
      <c r="F25" t="s">
        <v>72</v>
      </c>
      <c r="G25" t="s">
        <v>13</v>
      </c>
      <c r="H25" s="5">
        <v>6500</v>
      </c>
      <c r="I25" s="5">
        <v>1288</v>
      </c>
      <c r="J25" s="6">
        <f t="shared" si="0"/>
        <v>0.19815384615384615</v>
      </c>
    </row>
    <row r="26" spans="1:10" x14ac:dyDescent="0.25">
      <c r="A26" t="s">
        <v>147</v>
      </c>
      <c r="B26" s="2">
        <v>45079</v>
      </c>
      <c r="C26" s="4" t="s">
        <v>39</v>
      </c>
      <c r="D26" t="s">
        <v>64</v>
      </c>
      <c r="E26" t="s">
        <v>71</v>
      </c>
      <c r="F26" t="s">
        <v>72</v>
      </c>
      <c r="G26" t="s">
        <v>13</v>
      </c>
      <c r="H26" s="5">
        <v>7500</v>
      </c>
      <c r="I26" s="5">
        <v>1664</v>
      </c>
      <c r="J26" s="6">
        <f t="shared" si="0"/>
        <v>0.22186666666666666</v>
      </c>
    </row>
    <row r="27" spans="1:10" x14ac:dyDescent="0.25">
      <c r="A27" t="s">
        <v>148</v>
      </c>
      <c r="B27" s="2">
        <v>45079</v>
      </c>
      <c r="C27" s="4" t="s">
        <v>40</v>
      </c>
      <c r="D27" t="s">
        <v>65</v>
      </c>
      <c r="E27" t="s">
        <v>71</v>
      </c>
      <c r="F27" t="s">
        <v>72</v>
      </c>
      <c r="G27" t="s">
        <v>15</v>
      </c>
      <c r="H27" s="5">
        <v>5500</v>
      </c>
      <c r="I27" s="5">
        <v>1320</v>
      </c>
      <c r="J27" s="6">
        <f t="shared" si="0"/>
        <v>0.24</v>
      </c>
    </row>
    <row r="28" spans="1:10" x14ac:dyDescent="0.25">
      <c r="A28" t="s">
        <v>149</v>
      </c>
      <c r="B28" s="2">
        <v>45079</v>
      </c>
      <c r="C28" s="4" t="s">
        <v>41</v>
      </c>
      <c r="D28" t="s">
        <v>66</v>
      </c>
      <c r="E28" t="s">
        <v>71</v>
      </c>
      <c r="F28" t="s">
        <v>72</v>
      </c>
      <c r="G28" t="s">
        <v>15</v>
      </c>
      <c r="H28" s="5">
        <v>4625</v>
      </c>
      <c r="I28" s="5">
        <v>1001</v>
      </c>
      <c r="J28" s="6">
        <f t="shared" si="0"/>
        <v>0.21643243243243243</v>
      </c>
    </row>
    <row r="29" spans="1:10" x14ac:dyDescent="0.25">
      <c r="A29" t="s">
        <v>150</v>
      </c>
      <c r="B29" s="2">
        <v>45079</v>
      </c>
      <c r="C29" s="4" t="s">
        <v>42</v>
      </c>
      <c r="D29" t="s">
        <v>67</v>
      </c>
      <c r="E29" t="s">
        <v>71</v>
      </c>
      <c r="F29" t="s">
        <v>72</v>
      </c>
      <c r="G29" t="s">
        <v>15</v>
      </c>
      <c r="H29" s="5">
        <v>4500</v>
      </c>
      <c r="I29" s="5">
        <v>960</v>
      </c>
      <c r="J29" s="6">
        <f t="shared" si="0"/>
        <v>0.21333333333333335</v>
      </c>
    </row>
    <row r="30" spans="1:10" x14ac:dyDescent="0.25">
      <c r="A30" t="s">
        <v>151</v>
      </c>
      <c r="B30" s="2">
        <v>45079</v>
      </c>
      <c r="C30" s="4" t="s">
        <v>43</v>
      </c>
      <c r="D30" t="s">
        <v>10</v>
      </c>
      <c r="E30" t="s">
        <v>71</v>
      </c>
      <c r="F30" t="s">
        <v>72</v>
      </c>
      <c r="G30" t="s">
        <v>12</v>
      </c>
      <c r="H30" s="5">
        <v>5400</v>
      </c>
      <c r="I30" s="5">
        <v>540</v>
      </c>
      <c r="J30" s="6">
        <f t="shared" si="0"/>
        <v>0.1</v>
      </c>
    </row>
    <row r="31" spans="1:10" x14ac:dyDescent="0.25">
      <c r="H31" s="1"/>
    </row>
  </sheetData>
  <mergeCells count="1">
    <mergeCell ref="A1:J1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DC3EFF2-B6D2-454A-9FAC-11CCCAE07EA8}">
  <ds:schemaRefs/>
</ds:datastoreItem>
</file>

<file path=customXml/itemProps2.xml><?xml version="1.0" encoding="utf-8"?>
<ds:datastoreItem xmlns:ds="http://schemas.openxmlformats.org/officeDocument/2006/customXml" ds:itemID="{5964EC1C-DA98-44A9-B4C0-5DE61BAB42F8}">
  <ds:schemaRefs/>
</ds:datastoreItem>
</file>

<file path=customXml/itemProps3.xml><?xml version="1.0" encoding="utf-8"?>
<ds:datastoreItem xmlns:ds="http://schemas.openxmlformats.org/officeDocument/2006/customXml" ds:itemID="{4510C099-B477-4A83-9823-BA3AF109D995}">
  <ds:schemaRefs/>
</ds:datastoreItem>
</file>

<file path=customXml/itemProps4.xml><?xml version="1.0" encoding="utf-8"?>
<ds:datastoreItem xmlns:ds="http://schemas.openxmlformats.org/officeDocument/2006/customXml" ds:itemID="{6DED9A55-2B59-45EA-B2F6-E4C6B7E812B6}">
  <ds:schemaRefs/>
</ds:datastoreItem>
</file>

<file path=customXml/itemProps5.xml><?xml version="1.0" encoding="utf-8"?>
<ds:datastoreItem xmlns:ds="http://schemas.openxmlformats.org/officeDocument/2006/customXml" ds:itemID="{B415C16B-C185-43DD-B3E1-1865A2215923}">
  <ds:schemaRefs/>
</ds:datastoreItem>
</file>

<file path=customXml/itemProps6.xml><?xml version="1.0" encoding="utf-8"?>
<ds:datastoreItem xmlns:ds="http://schemas.openxmlformats.org/officeDocument/2006/customXml" ds:itemID="{E98C98BE-4F3F-4A04-BCDF-4A9811B6B73E}">
  <ds:schemaRefs/>
</ds:datastoreItem>
</file>

<file path=customXml/itemProps7.xml><?xml version="1.0" encoding="utf-8"?>
<ds:datastoreItem xmlns:ds="http://schemas.openxmlformats.org/officeDocument/2006/customXml" ds:itemID="{1AF8F306-6EA3-4B91-8C1F-987AF1BEAEA6}">
  <ds:schemaRefs/>
</ds:datastoreItem>
</file>

<file path=customXml/itemProps8.xml><?xml version="1.0" encoding="utf-8"?>
<ds:datastoreItem xmlns:ds="http://schemas.openxmlformats.org/officeDocument/2006/customXml" ds:itemID="{D5BEB583-18EC-40F2-AB32-3003BE68F9C7}">
  <ds:schemaRefs/>
</ds:datastoreItem>
</file>

<file path=customXml/itemProps9.xml><?xml version="1.0" encoding="utf-8"?>
<ds:datastoreItem xmlns:ds="http://schemas.openxmlformats.org/officeDocument/2006/customXml" ds:itemID="{5B874ECD-6B2F-4565-B5BC-8004A7FD40BF}">
  <ds:schemaRefs/>
</ds:datastoreItem>
</file>

<file path=customXml/itemProps10.xml><?xml version="1.0" encoding="utf-8"?>
<ds:datastoreItem xmlns:ds="http://schemas.openxmlformats.org/officeDocument/2006/customXml" ds:itemID="{DB39E1C3-FC86-4E0F-A98F-CE0BB08D73DD}">
  <ds:schemaRefs/>
</ds:datastoreItem>
</file>

<file path=customXml/itemProps11.xml><?xml version="1.0" encoding="utf-8"?>
<ds:datastoreItem xmlns:ds="http://schemas.openxmlformats.org/officeDocument/2006/customXml" ds:itemID="{97DF9365-2D11-4227-9DEF-C9D00EA6C78A}">
  <ds:schemaRefs/>
</ds:datastoreItem>
</file>

<file path=customXml/itemProps12.xml><?xml version="1.0" encoding="utf-8"?>
<ds:datastoreItem xmlns:ds="http://schemas.openxmlformats.org/officeDocument/2006/customXml" ds:itemID="{7E1BD164-B5E2-4BF7-B3D8-C44FC343AEB5}">
  <ds:schemaRefs/>
</ds:datastoreItem>
</file>

<file path=customXml/itemProps13.xml><?xml version="1.0" encoding="utf-8"?>
<ds:datastoreItem xmlns:ds="http://schemas.openxmlformats.org/officeDocument/2006/customXml" ds:itemID="{4AE3A96D-4AD9-481F-8CC4-F46E69D05F3C}">
  <ds:schemaRefs/>
</ds:datastoreItem>
</file>

<file path=customXml/itemProps14.xml><?xml version="1.0" encoding="utf-8"?>
<ds:datastoreItem xmlns:ds="http://schemas.openxmlformats.org/officeDocument/2006/customXml" ds:itemID="{EF5DBF52-7D7A-4317-BFA6-7680A9EBDC07}">
  <ds:schemaRefs/>
</ds:datastoreItem>
</file>

<file path=customXml/itemProps15.xml><?xml version="1.0" encoding="utf-8"?>
<ds:datastoreItem xmlns:ds="http://schemas.openxmlformats.org/officeDocument/2006/customXml" ds:itemID="{283F2B46-854A-44F9-BEE6-FB978FF88A3F}">
  <ds:schemaRefs/>
</ds:datastoreItem>
</file>

<file path=customXml/itemProps16.xml><?xml version="1.0" encoding="utf-8"?>
<ds:datastoreItem xmlns:ds="http://schemas.openxmlformats.org/officeDocument/2006/customXml" ds:itemID="{B4761FC9-8320-4C20-AAFB-9FAA49921D81}">
  <ds:schemaRefs/>
</ds:datastoreItem>
</file>

<file path=customXml/itemProps17.xml><?xml version="1.0" encoding="utf-8"?>
<ds:datastoreItem xmlns:ds="http://schemas.openxmlformats.org/officeDocument/2006/customXml" ds:itemID="{AB7270CB-DD5D-4B25-8552-60633BBDFF46}">
  <ds:schemaRefs/>
</ds:datastoreItem>
</file>

<file path=customXml/itemProps18.xml><?xml version="1.0" encoding="utf-8"?>
<ds:datastoreItem xmlns:ds="http://schemas.openxmlformats.org/officeDocument/2006/customXml" ds:itemID="{DF84D1FD-B40B-4BD9-BC3C-EE73E94CBD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Revenue_Fact</vt:lpstr>
      <vt:lpstr>Client_dim</vt:lpstr>
      <vt:lpstr>Department_dim</vt:lpstr>
      <vt:lpstr>State_dim</vt:lpstr>
      <vt:lpstr>Payment_dim</vt:lpstr>
      <vt:lpstr> RevenueVLOOOKUP</vt:lpstr>
      <vt:lpstr>Data Cleaning 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2026-02-13T02:39:10Z</dcterms:modified>
</cp:coreProperties>
</file>